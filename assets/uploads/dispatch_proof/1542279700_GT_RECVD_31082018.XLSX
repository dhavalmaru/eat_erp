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shit\Desktop\"/>
    </mc:Choice>
  </mc:AlternateContent>
  <bookViews>
    <workbookView xWindow="0" yWindow="0" windowWidth="20490" windowHeight="7755"/>
  </bookViews>
  <sheets>
    <sheet name="pivot" sheetId="2" r:id="rId1"/>
    <sheet name="master" sheetId="1" r:id="rId2"/>
  </sheets>
  <definedNames>
    <definedName name="_xlnm._FilterDatabase" localSheetId="1" hidden="1">master!$A$1:$J$206</definedName>
  </definedNames>
  <calcPr calcId="152511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6" i="1" l="1"/>
  <c r="G208" i="1" s="1"/>
  <c r="J197" i="1"/>
</calcChain>
</file>

<file path=xl/sharedStrings.xml><?xml version="1.0" encoding="utf-8"?>
<sst xmlns="http://schemas.openxmlformats.org/spreadsheetml/2006/main" count="1131" uniqueCount="356">
  <si>
    <t>NAME</t>
  </si>
  <si>
    <t>Distributor Name</t>
  </si>
  <si>
    <t>AREA</t>
  </si>
  <si>
    <t>Invoice No.</t>
  </si>
  <si>
    <t>Ledger No.</t>
  </si>
  <si>
    <t>Ledger Bal</t>
  </si>
  <si>
    <t>Paid</t>
  </si>
  <si>
    <t>Remarks</t>
  </si>
  <si>
    <t>Status</t>
  </si>
  <si>
    <t>PAVAN</t>
  </si>
  <si>
    <t>Any time medical (Malad)</t>
  </si>
  <si>
    <t>MALAD WEST</t>
  </si>
  <si>
    <t>SHUT DOWN</t>
  </si>
  <si>
    <t>AA Brothers</t>
  </si>
  <si>
    <t>SOUTH MUMBAI</t>
  </si>
  <si>
    <t xml:space="preserve">66525920241665  goods rtv </t>
  </si>
  <si>
    <t>SOUTH</t>
  </si>
  <si>
    <t>PAID</t>
  </si>
  <si>
    <t>RAVI</t>
  </si>
  <si>
    <t>Anuraj Medico &amp; General Stores</t>
  </si>
  <si>
    <t>BHANDUP WEST</t>
  </si>
  <si>
    <t>Ajay Grain Store &amp; Provision Kinara</t>
  </si>
  <si>
    <t>MULUND WEST</t>
  </si>
  <si>
    <t>Agrawal super market</t>
  </si>
  <si>
    <t>NAVI MUMBAI</t>
  </si>
  <si>
    <t>NAVI</t>
  </si>
  <si>
    <t>UNPAID</t>
  </si>
  <si>
    <t>Any Time Medical</t>
  </si>
  <si>
    <t>GOREGAON WEST</t>
  </si>
  <si>
    <t>2168, 2474, 672,</t>
  </si>
  <si>
    <t>Aum Sai Store</t>
  </si>
  <si>
    <t>Anupam sup market</t>
  </si>
  <si>
    <t>THANE WEST</t>
  </si>
  <si>
    <t>1510, 1834, 2305,</t>
  </si>
  <si>
    <t>Ambaji medical mulund west</t>
  </si>
  <si>
    <r>
      <t>1502, 2284</t>
    </r>
    <r>
      <rPr>
        <sz val="11"/>
        <color rgb="FF000000"/>
        <rFont val="Calibri"/>
        <family val="2"/>
        <scheme val="minor"/>
      </rPr>
      <t>, 2441</t>
    </r>
  </si>
  <si>
    <t>Ambaji medical powai</t>
  </si>
  <si>
    <t>POWAI</t>
  </si>
  <si>
    <t>Apna Aushadi Bhandar</t>
  </si>
  <si>
    <t>CHEMBUR</t>
  </si>
  <si>
    <t>FULL RTV</t>
  </si>
  <si>
    <t>Annaporna Foods</t>
  </si>
  <si>
    <t>Ambaji medical surgical ayurvedic</t>
  </si>
  <si>
    <t>1358, 1459, 1835,</t>
  </si>
  <si>
    <t>Ambaji medical mulund east</t>
  </si>
  <si>
    <t>MULUND EAST</t>
  </si>
  <si>
    <t>1428, 2195</t>
  </si>
  <si>
    <t>Ashok General Store</t>
  </si>
  <si>
    <t>A. R. M chemist and provision</t>
  </si>
  <si>
    <t xml:space="preserve">1635 GOODS RTV </t>
  </si>
  <si>
    <t>AMIRI PLUS</t>
  </si>
  <si>
    <t>ANDHERI WEST</t>
  </si>
  <si>
    <t>Anant Foodland</t>
  </si>
  <si>
    <t>JUHU</t>
  </si>
  <si>
    <t>2556,2182,881,36,</t>
  </si>
  <si>
    <t>Ashapura Foods</t>
  </si>
  <si>
    <t xml:space="preserve">BHARAT DRY FRUIT </t>
  </si>
  <si>
    <t>MALAD</t>
  </si>
  <si>
    <t>Bharat Medical &amp; General Stores</t>
  </si>
  <si>
    <t>BON BON</t>
  </si>
  <si>
    <t>ANDHERI EAST</t>
  </si>
  <si>
    <t>Bhogilal Vallabhdas Dry Fruits</t>
  </si>
  <si>
    <t>1172, 2143,</t>
  </si>
  <si>
    <t>Bhawani dry fruits</t>
  </si>
  <si>
    <t>Britaniya Grain store</t>
  </si>
  <si>
    <t>Baby biscuit mart</t>
  </si>
  <si>
    <t>GHATKOPER EAST</t>
  </si>
  <si>
    <t>1403 ( RTV 28BARS )</t>
  </si>
  <si>
    <t>Bhimji &amp; Sons</t>
  </si>
  <si>
    <t>KANDIVALI EAST</t>
  </si>
  <si>
    <t>224 ( goods thrown out )</t>
  </si>
  <si>
    <t>Brijwasai Dry Fruits</t>
  </si>
  <si>
    <t>MAHIM WEST</t>
  </si>
  <si>
    <t>Bombay Dry fruits Cutlery store</t>
  </si>
  <si>
    <t>Cafe Galleries and Stores</t>
  </si>
  <si>
    <t>1642, 621, 582, 2068</t>
  </si>
  <si>
    <t>Champion Foods</t>
  </si>
  <si>
    <t>VILE PARLE</t>
  </si>
  <si>
    <t>Corner stone Medical &amp; General Stores</t>
  </si>
  <si>
    <t>MALAD EAST</t>
  </si>
  <si>
    <t>1417, 1238,</t>
  </si>
  <si>
    <t xml:space="preserve">rtv  8pcs </t>
  </si>
  <si>
    <t>Invoice with sunil</t>
  </si>
  <si>
    <t>Citizen Dry Fruit &amp; general Stores</t>
  </si>
  <si>
    <t>KHAR WEST</t>
  </si>
  <si>
    <t>132, 2142, 2310</t>
  </si>
  <si>
    <t>Cure And Wellness</t>
  </si>
  <si>
    <t>1268, 1457, 2105</t>
  </si>
  <si>
    <t>CURE PHARMA</t>
  </si>
  <si>
    <t xml:space="preserve">ANDHERI EAST </t>
  </si>
  <si>
    <t>1579/270</t>
  </si>
  <si>
    <t>Chheda Dry Fruits &amp; Snacks (Walkeshwar)</t>
  </si>
  <si>
    <t>Chandan store Ghatkopar</t>
  </si>
  <si>
    <t>Chandans choice foods</t>
  </si>
  <si>
    <t>Chheda Foods (Santacuraz)</t>
  </si>
  <si>
    <t>SANTACRUZ WEST</t>
  </si>
  <si>
    <t>173, 242</t>
  </si>
  <si>
    <t>Celebrity Dry Fruit &amp; Sweets</t>
  </si>
  <si>
    <t>59, 447</t>
  </si>
  <si>
    <t>Crystal pharmacy &amp; Super Market</t>
  </si>
  <si>
    <t>Celebration Sweets &amp; Dry Food</t>
  </si>
  <si>
    <t>BHANDUP EAST</t>
  </si>
  <si>
    <t>1277,1405, 2163</t>
  </si>
  <si>
    <t>Durga Pharmacy</t>
  </si>
  <si>
    <t>Everfresh Stores</t>
  </si>
  <si>
    <t>MATUNGA</t>
  </si>
  <si>
    <t>Ekta chemist</t>
  </si>
  <si>
    <t>2130, 1901</t>
  </si>
  <si>
    <t>First Choice Foodland</t>
  </si>
  <si>
    <t>628 ( RTN 12PCS )</t>
  </si>
  <si>
    <t>Fit n trim gym</t>
  </si>
  <si>
    <t>967 ( USED FOR SAMPLING )</t>
  </si>
  <si>
    <t>Foodberry Dry Fruits</t>
  </si>
  <si>
    <t>1315, 2278</t>
  </si>
  <si>
    <t>Fresh dryfruits and general stores</t>
  </si>
  <si>
    <t>2475 rtv</t>
  </si>
  <si>
    <t>Grocer Raja</t>
  </si>
  <si>
    <t>Gala Traders</t>
  </si>
  <si>
    <t>145 ( GOODS THROWN OUT )</t>
  </si>
  <si>
    <t>Ganesh medical</t>
  </si>
  <si>
    <t>1357, 1924</t>
  </si>
  <si>
    <t>Global Speciality Foods</t>
  </si>
  <si>
    <t>2409, 102</t>
  </si>
  <si>
    <t>Garden dry fruits &amp; General store</t>
  </si>
  <si>
    <t>G&amp;B Fitness</t>
  </si>
  <si>
    <t>934, 1138</t>
  </si>
  <si>
    <t>Global Medical chemist &amp; drugs</t>
  </si>
  <si>
    <t>1376/1588</t>
  </si>
  <si>
    <t>Ganesh Medical And General Store</t>
  </si>
  <si>
    <t>General Medical LLP</t>
  </si>
  <si>
    <t>MUMBAI CENTRAL</t>
  </si>
  <si>
    <t>1372, 1454, 1893, 741  goods rtv</t>
  </si>
  <si>
    <t>MANORAMA</t>
  </si>
  <si>
    <t>Gala Food corner</t>
  </si>
  <si>
    <t>269, 1670</t>
  </si>
  <si>
    <t>CENTRAL</t>
  </si>
  <si>
    <t>Gold Coin Medical &amp; General Stores</t>
  </si>
  <si>
    <t>486, 2062</t>
  </si>
  <si>
    <t>Hari Om Food Store</t>
  </si>
  <si>
    <r>
      <t xml:space="preserve">2247, 2282, </t>
    </r>
    <r>
      <rPr>
        <b/>
        <sz val="11"/>
        <color rgb="FF000000"/>
        <rFont val="Calibri"/>
        <family val="2"/>
        <scheme val="minor"/>
      </rPr>
      <t>1798</t>
    </r>
    <r>
      <rPr>
        <sz val="11"/>
        <color rgb="FF000000"/>
        <rFont val="Calibri"/>
        <family val="2"/>
        <scheme val="minor"/>
      </rPr>
      <t>, 2102</t>
    </r>
  </si>
  <si>
    <t>Health care</t>
  </si>
  <si>
    <t>1316, 1463, 1672, 1790, 2131, 1201, 2307</t>
  </si>
  <si>
    <t>Harsha Sweet Store</t>
  </si>
  <si>
    <t>KANJUR WEST</t>
  </si>
  <si>
    <t>Helpline Medical</t>
  </si>
  <si>
    <t>1563, 2133</t>
  </si>
  <si>
    <t>Hill Top Stores</t>
  </si>
  <si>
    <t>Heena garn store</t>
  </si>
  <si>
    <t>Health plus medical (Kandivali)</t>
  </si>
  <si>
    <t>KANDIVILI WEST</t>
  </si>
  <si>
    <t>Hexacorp</t>
  </si>
  <si>
    <t>1728, 2103,2180, 2340</t>
  </si>
  <si>
    <t>In Time General Store</t>
  </si>
  <si>
    <t>1245, 2482</t>
  </si>
  <si>
    <t>Jeevan Society Stores</t>
  </si>
  <si>
    <t>Jai Mallinath</t>
  </si>
  <si>
    <t>Jems Dry Fruits, Chocolates &amp; Food Stuff</t>
  </si>
  <si>
    <t>BANDRA WEST</t>
  </si>
  <si>
    <t>Jalaram Foods</t>
  </si>
  <si>
    <t>Jay Krishna Bhandar</t>
  </si>
  <si>
    <t>GHATKOPER WEST</t>
  </si>
  <si>
    <t>1716  (RTV6PCS )</t>
  </si>
  <si>
    <t>Jay Ganesh super market</t>
  </si>
  <si>
    <t>Kesar misri</t>
  </si>
  <si>
    <t>1926, 2484</t>
  </si>
  <si>
    <t>Krishna Chemist</t>
  </si>
  <si>
    <t>1276, 1794, 2281</t>
  </si>
  <si>
    <t>Khushil Stores</t>
  </si>
  <si>
    <t>KHUSHI ENTERPRISES</t>
  </si>
  <si>
    <t>KWIK7</t>
  </si>
  <si>
    <t>222, 653,</t>
  </si>
  <si>
    <t>Kanchan medical &amp; Gen Store</t>
  </si>
  <si>
    <t>K.G.N store</t>
  </si>
  <si>
    <t>Kairas mediworld</t>
  </si>
  <si>
    <t>Lifecure pharmacy</t>
  </si>
  <si>
    <t xml:space="preserve">LIBERTY CHEMIST </t>
  </si>
  <si>
    <t>Laxmi Dairy</t>
  </si>
  <si>
    <t>VILE PARLE WEST</t>
  </si>
  <si>
    <t>363, 2221,</t>
  </si>
  <si>
    <t>Laxmi pan shop</t>
  </si>
  <si>
    <t>Lets Bake store</t>
  </si>
  <si>
    <t>1607 ( RTV 5PCS )</t>
  </si>
  <si>
    <t>Laxmi Medical &amp; General Store</t>
  </si>
  <si>
    <t>CHEMBUR EAST</t>
  </si>
  <si>
    <t>1302, 2184, 2315</t>
  </si>
  <si>
    <t>Metro Dryfruit</t>
  </si>
  <si>
    <r>
      <t>2129,</t>
    </r>
    <r>
      <rPr>
        <b/>
        <sz val="11"/>
        <color rgb="FF000000"/>
        <rFont val="Calibri"/>
        <family val="2"/>
        <scheme val="minor"/>
      </rPr>
      <t xml:space="preserve"> 1086</t>
    </r>
    <r>
      <rPr>
        <sz val="11"/>
        <color rgb="FF000000"/>
        <rFont val="Calibri"/>
        <family val="2"/>
        <scheme val="minor"/>
      </rPr>
      <t xml:space="preserve">, 1662, 1359, </t>
    </r>
    <r>
      <rPr>
        <b/>
        <sz val="11"/>
        <color rgb="FF000000"/>
        <rFont val="Calibri"/>
        <family val="2"/>
        <scheme val="minor"/>
      </rPr>
      <t>1170</t>
    </r>
    <r>
      <rPr>
        <sz val="11"/>
        <color rgb="FF000000"/>
        <rFont val="Calibri"/>
        <family val="2"/>
        <scheme val="minor"/>
      </rPr>
      <t>,</t>
    </r>
  </si>
  <si>
    <t>Manpasand Corner</t>
  </si>
  <si>
    <t>VIKROLI EAST</t>
  </si>
  <si>
    <t>1120, 1789, 2309</t>
  </si>
  <si>
    <t>Madan Medical Stores</t>
  </si>
  <si>
    <t>Mahavir Chemist</t>
  </si>
  <si>
    <t>Malabar store</t>
  </si>
  <si>
    <t>Mohan Medicines</t>
  </si>
  <si>
    <t>Maru store</t>
  </si>
  <si>
    <t>Maharashtra Medical And Department Store ( Nerul )</t>
  </si>
  <si>
    <t>1310  rtv</t>
  </si>
  <si>
    <t>Mehoob store</t>
  </si>
  <si>
    <t>Manish G.store</t>
  </si>
  <si>
    <t>Manohar Medical and Distributors</t>
  </si>
  <si>
    <t>Mithaas Dry Foods</t>
  </si>
  <si>
    <t>The Medical, medical &amp; general store</t>
  </si>
  <si>
    <t>Maruti Chemist &amp; General Stores</t>
  </si>
  <si>
    <t>VIKROLI WEST</t>
  </si>
  <si>
    <t>Maa Ashapura Super Market</t>
  </si>
  <si>
    <t>1124, 1988</t>
  </si>
  <si>
    <t>Manilal Store</t>
  </si>
  <si>
    <t>Manish super market</t>
  </si>
  <si>
    <t>Manglam foods</t>
  </si>
  <si>
    <t>803 ( rtv )</t>
  </si>
  <si>
    <t>Mahesh dry fruit shantacruz E</t>
  </si>
  <si>
    <t>SANTACRUZ EAST</t>
  </si>
  <si>
    <t>Meena Bazar</t>
  </si>
  <si>
    <t>BANDRA EAST</t>
  </si>
  <si>
    <t>Natural Sweets &amp; Snacks</t>
  </si>
  <si>
    <t>CHEMBUR WEST</t>
  </si>
  <si>
    <t>201, 1746, 2280, 2403, 2550</t>
  </si>
  <si>
    <t>NG Food Products</t>
  </si>
  <si>
    <t>516, 616</t>
  </si>
  <si>
    <t>New MAMJI S medical &amp; general stores</t>
  </si>
  <si>
    <t xml:space="preserve">NEW ROYAL CHEMIST </t>
  </si>
  <si>
    <t xml:space="preserve">MALAD </t>
  </si>
  <si>
    <t>PAYTM</t>
  </si>
  <si>
    <t>N.S Stores</t>
  </si>
  <si>
    <t>2544/2697</t>
  </si>
  <si>
    <t>New Mahavir Medical &amp; General Stores</t>
  </si>
  <si>
    <t>Noble Chemist (Juhu)</t>
  </si>
  <si>
    <t>New Roman Stores</t>
  </si>
  <si>
    <t>2183, 807, 470,</t>
  </si>
  <si>
    <t>New Smart Zone Chemist &amp; Super Store</t>
  </si>
  <si>
    <t>2134, 1279</t>
  </si>
  <si>
    <t>Noble Medicals (Vile Parle East)</t>
  </si>
  <si>
    <t>VILE PARLE EAST</t>
  </si>
  <si>
    <t>Noble Chemist (Azad Nagar - Andheri West)</t>
  </si>
  <si>
    <t>Noble Chemist (Marol - Andheri East)</t>
  </si>
  <si>
    <t>National Dry Fruit &amp; General Store</t>
  </si>
  <si>
    <t>Noble Chemist (Ghatkopar)</t>
  </si>
  <si>
    <t>1464 1617</t>
  </si>
  <si>
    <t>Nagrik Dry Fruits &amp; Sweet</t>
  </si>
  <si>
    <t>1173, 1360</t>
  </si>
  <si>
    <t>Nuts n Bites</t>
  </si>
  <si>
    <t>Neha general store</t>
  </si>
  <si>
    <t>Noble Chemist (Khar)</t>
  </si>
  <si>
    <t>Navnath medical</t>
  </si>
  <si>
    <t>Noble Chemist (Mahakali Caves Road - Andheri East)</t>
  </si>
  <si>
    <t>2087 ( rtv 8pcs )</t>
  </si>
  <si>
    <t>Noble Chemist - (J. B. Nagar - Andheri East)</t>
  </si>
  <si>
    <t>Noble Chemist (Gujrathi Society - Vile Parle East)</t>
  </si>
  <si>
    <t>NOBLE MEDICALS</t>
  </si>
  <si>
    <t>Nut &amp; Pulse</t>
  </si>
  <si>
    <t>2555 (20PCS RTN )</t>
  </si>
  <si>
    <t>Nagrik Dhanya Bhandar Super Market</t>
  </si>
  <si>
    <t>Om Sai Medical &amp; General Stores</t>
  </si>
  <si>
    <t>1262, 2312, 1581, 1795</t>
  </si>
  <si>
    <t>Om Aayurved</t>
  </si>
  <si>
    <t>Prabhat dryfoods</t>
  </si>
  <si>
    <t>Prince medical</t>
  </si>
  <si>
    <t>Patel Provision Stores</t>
  </si>
  <si>
    <t>Pankaj Variety Stores</t>
  </si>
  <si>
    <t>WADALA</t>
  </si>
  <si>
    <t>Parass Gen Stores</t>
  </si>
  <si>
    <t>Prabhat Grahak Bazar</t>
  </si>
  <si>
    <t>Prabhat Super Market</t>
  </si>
  <si>
    <t>2485,</t>
  </si>
  <si>
    <t>P&amp;G Medico</t>
  </si>
  <si>
    <t>1714, 1221,1378</t>
  </si>
  <si>
    <t>WILL BE TRANSFERRED ON WEDNESDAY 29/08/2018 BY PRITI 7718096431</t>
  </si>
  <si>
    <t xml:space="preserve">Far Left Retail Pvt Ltd </t>
  </si>
  <si>
    <t>BANDRA</t>
  </si>
  <si>
    <t>Rajesh Store</t>
  </si>
  <si>
    <t>833,2427,</t>
  </si>
  <si>
    <t>Roman General store lokhandwala</t>
  </si>
  <si>
    <t>Regal Plus</t>
  </si>
  <si>
    <t>2306,740, 613</t>
  </si>
  <si>
    <t>Ratana Super Market (Mulund)</t>
  </si>
  <si>
    <t>Regal</t>
  </si>
  <si>
    <t>Ramdev Super Market</t>
  </si>
  <si>
    <t>Rishikesh Daily Needs</t>
  </si>
  <si>
    <t xml:space="preserve">rtv </t>
  </si>
  <si>
    <t>Shakti general store</t>
  </si>
  <si>
    <t>Shiv Medical &amp; Ayurvedic General Store</t>
  </si>
  <si>
    <t>Salshi grain stores</t>
  </si>
  <si>
    <t>Sanjivani medical</t>
  </si>
  <si>
    <t>Satguru Chemist</t>
  </si>
  <si>
    <t>Shree Krishna Medical &amp; General Stores</t>
  </si>
  <si>
    <t>Sugandha Medical &amp; General Stores</t>
  </si>
  <si>
    <t>Sweet corner</t>
  </si>
  <si>
    <t>Full RTV</t>
  </si>
  <si>
    <t>Shree sawmi madical shop</t>
  </si>
  <si>
    <t>Shree shakti store</t>
  </si>
  <si>
    <t>Sarvodaya superstore</t>
  </si>
  <si>
    <t>Welcome Super Market</t>
  </si>
  <si>
    <t xml:space="preserve">1821,342, RTV </t>
  </si>
  <si>
    <t>Star Medico chemist</t>
  </si>
  <si>
    <t>2109, 1452,1820,2354</t>
  </si>
  <si>
    <t>Saamagri store</t>
  </si>
  <si>
    <t>2023 RTV GOODS PAID 31.5RS TO SP</t>
  </si>
  <si>
    <t>Sawant trading company</t>
  </si>
  <si>
    <t>Saii Saii Medical Chemist &amp; Druggist</t>
  </si>
  <si>
    <t>Suvisha General Store</t>
  </si>
  <si>
    <t>1418 RTV 5PC</t>
  </si>
  <si>
    <t>Sahara Super Mart</t>
  </si>
  <si>
    <t>Sujal super market</t>
  </si>
  <si>
    <t>Shree Dev super market</t>
  </si>
  <si>
    <t>Shree laxmi store</t>
  </si>
  <si>
    <t>Sweet an sor</t>
  </si>
  <si>
    <t>Super Fit Lifestyle Asia LLP</t>
  </si>
  <si>
    <t>693, 667,1435</t>
  </si>
  <si>
    <t>Simply Daksheen</t>
  </si>
  <si>
    <t>1353, 2204</t>
  </si>
  <si>
    <t>Siddhi dryfruits - 1</t>
  </si>
  <si>
    <t>KANDIVALI WEST</t>
  </si>
  <si>
    <t>MUSKAN</t>
  </si>
  <si>
    <t>Shri Gayatri Medical &amp; General Store</t>
  </si>
  <si>
    <t>1284 (RTV 11PCS )</t>
  </si>
  <si>
    <t>Shri Ganesh medical</t>
  </si>
  <si>
    <t>Shree Dham Sweet, Dry Fruits</t>
  </si>
  <si>
    <t>Shree nath Dairy fam</t>
  </si>
  <si>
    <t>Sweet n Sour</t>
  </si>
  <si>
    <t>SAI SIDDHI HOSPITALITY PVT LTD</t>
  </si>
  <si>
    <t>Shree Shakti Marketing</t>
  </si>
  <si>
    <t>BORIVALI EAST</t>
  </si>
  <si>
    <t>Tulsi Med. &amp; Gen Store</t>
  </si>
  <si>
    <t>Tawakkal sweet</t>
  </si>
  <si>
    <t>The Global Foods Co</t>
  </si>
  <si>
    <t>Trimurti Enterprises</t>
  </si>
  <si>
    <t>2462,2396,2157,</t>
  </si>
  <si>
    <t>We Care Pharmacy</t>
  </si>
  <si>
    <t>KANJUR EAST</t>
  </si>
  <si>
    <t>Total Foods</t>
  </si>
  <si>
    <t>Utsav dryfurit sweet &amp; farsan</t>
  </si>
  <si>
    <t>V.R.D. retail pvt. Ltd.</t>
  </si>
  <si>
    <t>Vansh Ayurvedic</t>
  </si>
  <si>
    <t>Vaibhav Dry Fruits and Sweets</t>
  </si>
  <si>
    <t>13831694  GOODS RTV</t>
  </si>
  <si>
    <t>Shree Venkateshwar Prasad Medical &amp; General Stores</t>
  </si>
  <si>
    <t>Vijay general Stores</t>
  </si>
  <si>
    <r>
      <t>1984, 2541</t>
    </r>
    <r>
      <rPr>
        <b/>
        <sz val="11"/>
        <color rgb="FF000000"/>
        <rFont val="Calibri"/>
        <family val="2"/>
        <scheme val="minor"/>
      </rPr>
      <t>,853,982,</t>
    </r>
  </si>
  <si>
    <t>Vora Brothers</t>
  </si>
  <si>
    <t>Venus Confectioners</t>
  </si>
  <si>
    <t>Vira Food</t>
  </si>
  <si>
    <t xml:space="preserve">1314 ( </t>
  </si>
  <si>
    <t xml:space="preserve">PAIN TO PAVAN </t>
  </si>
  <si>
    <t>Welcome Dry Fruit Stores</t>
  </si>
  <si>
    <t>GOREGAON EAST</t>
  </si>
  <si>
    <t>511 ( rtv 3pcs)</t>
  </si>
  <si>
    <t>Willingdon Store Vikhroli</t>
  </si>
  <si>
    <r>
      <t>1351</t>
    </r>
    <r>
      <rPr>
        <sz val="11"/>
        <color rgb="FF000000"/>
        <rFont val="Calibri"/>
        <family val="2"/>
        <scheme val="minor"/>
      </rPr>
      <t xml:space="preserve"> 22052529</t>
    </r>
  </si>
  <si>
    <t>Welcome Genral Store</t>
  </si>
  <si>
    <t>YFC Gym</t>
  </si>
  <si>
    <t>Yogi medicare</t>
  </si>
  <si>
    <t>Total</t>
  </si>
  <si>
    <t xml:space="preserve">Bal </t>
  </si>
  <si>
    <t>Row Labels</t>
  </si>
  <si>
    <t>Grand Total</t>
  </si>
  <si>
    <t>Sum of Ledger 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</si>
</sst>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69EB3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4" fontId="2" fillId="0" borderId="7" xfId="0" applyNumberFormat="1" applyFont="1" applyBorder="1" applyAlignment="1">
      <alignment horizontal="left"/>
    </xf>
    <xf numFmtId="0" fontId="0" fillId="0" borderId="7" xfId="0" applyBorder="1" applyAlignment="1">
      <alignment horizontal="left"/>
    </xf>
    <xf numFmtId="0" fontId="2" fillId="5" borderId="7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0" borderId="6" xfId="0" applyBorder="1" applyAlignment="1">
      <alignment horizontal="left"/>
    </xf>
    <xf numFmtId="4" fontId="2" fillId="0" borderId="6" xfId="0" applyNumberFormat="1" applyFont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2" fillId="7" borderId="7" xfId="0" applyFont="1" applyFill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4" fontId="0" fillId="0" borderId="4" xfId="0" applyNumberFormat="1" applyBorder="1" applyAlignment="1">
      <alignment horizontal="left"/>
    </xf>
    <xf numFmtId="4" fontId="0" fillId="0" borderId="7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4" fontId="2" fillId="0" borderId="7" xfId="0" applyNumberFormat="1" applyFont="1" applyBorder="1" applyAlignment="1">
      <alignment horizontal="right"/>
    </xf>
    <xf numFmtId="4" fontId="2" fillId="0" borderId="8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shit" refreshedDate="43343.436998726851" createdVersion="5" refreshedVersion="5" minRefreshableVersion="3" recordCount="204">
  <cacheSource type="worksheet">
    <worksheetSource ref="A1:I205" sheet="master"/>
  </cacheSource>
  <cacheFields count="9">
    <cacheField name="NAME" numFmtId="0">
      <sharedItems/>
    </cacheField>
    <cacheField name="Distributor Name" numFmtId="0">
      <sharedItems/>
    </cacheField>
    <cacheField name="AREA" numFmtId="0">
      <sharedItems containsBlank="1" count="45">
        <s v="MALAD WEST"/>
        <s v="SOUTH MUMBAI"/>
        <s v="BHANDUP WEST"/>
        <s v="MULUND WEST"/>
        <s v="NAVI MUMBAI"/>
        <s v="GOREGAON WEST"/>
        <s v="THANE WEST"/>
        <s v="POWAI"/>
        <s v="CHEMBUR"/>
        <m/>
        <s v="MULUND EAST"/>
        <s v="ANDHERI WEST"/>
        <s v="JUHU"/>
        <s v="MALAD"/>
        <s v="ANDHERI EAST"/>
        <s v="GHATKOPER EAST"/>
        <s v="KANDIVALI EAST"/>
        <s v="MAHIM WEST"/>
        <s v="VILE PARLE"/>
        <s v="MALAD EAST"/>
        <s v="KHAR WEST"/>
        <s v="ANDHERI EAST "/>
        <s v="SANTACRUZ WEST"/>
        <s v="BHANDUP EAST"/>
        <s v="MATUNGA"/>
        <s v="MUMBAI CENTRAL"/>
        <s v="KANJUR WEST"/>
        <s v="KANDIVILI WEST"/>
        <s v="BANDRA WEST"/>
        <s v="GHATKOPER WEST"/>
        <s v="VILE PARLE WEST"/>
        <s v="CHEMBUR EAST"/>
        <s v="VIKROLI EAST"/>
        <s v="VIKROLI WEST"/>
        <s v="SANTACRUZ EAST"/>
        <s v="BANDRA EAST"/>
        <s v="CHEMBUR WEST"/>
        <s v="MALAD "/>
        <s v="VILE PARLE EAST"/>
        <s v="WADALA"/>
        <s v="BANDRA"/>
        <s v="KANDIVALI WEST"/>
        <s v="BORIVALI EAST"/>
        <s v="KANJUR EAST"/>
        <s v="GOREGAON EAST"/>
      </sharedItems>
    </cacheField>
    <cacheField name="Invoice No." numFmtId="0">
      <sharedItems containsBlank="1" containsMixedTypes="1" containsNumber="1" containsInteger="1" minValue="91" maxValue="2.40285488675214E+20" count="193">
        <n v="2030"/>
        <s v="66525920241665  goods rtv "/>
        <n v="1508228312001790"/>
        <n v="1088"/>
        <n v="1202"/>
        <s v="2168, 2474, 672,"/>
        <n v="1399"/>
        <s v="1510, 1834, 2305,"/>
        <s v="1502, 2284, 2441"/>
        <n v="1900"/>
        <n v="1377"/>
        <m/>
        <s v="1358, 1459, 1835,"/>
        <s v="1428, 2195"/>
        <n v="1590"/>
        <s v="1635 GOODS RTV "/>
        <n v="25602565"/>
        <s v="2556,2182,881,36,"/>
        <n v="1247"/>
        <n v="1882167"/>
        <s v="1172, 2143,"/>
        <n v="1664"/>
        <n v="1040"/>
        <s v="1403 ( RTV 28BARS )"/>
        <s v="224 ( goods thrown out )"/>
        <n v="1562"/>
        <n v="2337"/>
        <s v="1642, 621, 582, 2068"/>
        <s v="1417, 1238,"/>
        <s v="132, 2142, 2310"/>
        <s v="1268, 1457, 2105"/>
        <s v="1579/270"/>
        <n v="1634"/>
        <n v="1674"/>
        <s v="173, 242"/>
        <s v="59, 447"/>
        <n v="1148"/>
        <s v="1277,1405, 2163"/>
        <n v="1451160620092130"/>
        <n v="1373"/>
        <s v="2130, 1901"/>
        <s v="628 ( RTN 12PCS )"/>
        <s v="967 ( USED FOR SAMPLING )"/>
        <s v="1315, 2278"/>
        <s v="2475 rtv"/>
        <n v="1291"/>
        <s v="145 ( GOODS THROWN OUT )"/>
        <s v="1357, 1924"/>
        <s v="2409, 102"/>
        <n v="749"/>
        <s v="934, 1138"/>
        <s v="1376/1588"/>
        <n v="1663"/>
        <s v="1372, 1454, 1893, 741  goods rtv"/>
        <s v="269, 1670"/>
        <s v="486, 2062"/>
        <s v="2247, 2282, 1798, 2102"/>
        <s v="1316, 1463, 1672, 1790, 2131, 1201, 2307"/>
        <n v="1354"/>
        <s v="1563, 2133"/>
        <n v="91"/>
        <n v="1422"/>
        <n v="2186"/>
        <s v="1728, 2103,2180, 2340"/>
        <s v="1245, 2482"/>
        <n v="668"/>
        <n v="1126"/>
        <n v="95"/>
        <n v="104"/>
        <s v="1716  (RTV6PCS )"/>
        <n v="1150"/>
        <s v="1926, 2484"/>
        <s v="1276, 1794, 2281"/>
        <n v="122"/>
        <n v="2449"/>
        <s v="222, 653,"/>
        <n v="1139"/>
        <n v="1042"/>
        <n v="2061"/>
        <n v="2251"/>
        <s v="363, 2221,"/>
        <n v="1591"/>
        <s v="1607 ( RTV 5PCS )"/>
        <s v="1302, 2184, 2315"/>
        <s v="2129, 1086, 1662, 1359, 1170,"/>
        <s v="1120, 1789, 2309"/>
        <n v="1166"/>
        <n v="112117882203"/>
        <n v="1609"/>
        <n v="143"/>
        <n v="1407"/>
        <s v="1310  rtv"/>
        <n v="1038"/>
        <n v="1060"/>
        <n v="1219"/>
        <n v="1216"/>
        <n v="198"/>
        <n v="1356"/>
        <s v="1124, 1988"/>
        <n v="432"/>
        <n v="1420"/>
        <s v="803 ( rtv )"/>
        <n v="2426"/>
        <n v="2446"/>
        <s v="201, 1746, 2280, 2403, 2550"/>
        <s v="516, 616"/>
        <n v="555"/>
        <s v="2544/2697"/>
        <n v="1311"/>
        <n v="2581"/>
        <s v="2183, 807, 470,"/>
        <s v="2134, 1279"/>
        <n v="2089"/>
        <n v="2138"/>
        <n v="2136"/>
        <n v="602522057"/>
        <s v="1464 1617"/>
        <s v="1173, 1360"/>
        <n v="250467"/>
        <n v="1059"/>
        <n v="2075"/>
        <n v="1220"/>
        <s v="2087 ( rtv 8pcs )"/>
        <n v="2137"/>
        <n v="2135"/>
        <s v="2555 (20PCS RTN )"/>
        <n v="2528"/>
        <s v="1262, 2312, 1581, 1795"/>
        <n v="1396"/>
        <n v="1151"/>
        <n v="15121844"/>
        <n v="588"/>
        <n v="1171"/>
        <n v="190"/>
        <s v="2485,"/>
        <s v="1714, 1221,1378"/>
        <s v="833,2427,"/>
        <n v="2202"/>
        <s v="2306,740, 613"/>
        <n v="2525"/>
        <n v="1594275"/>
        <n v="2237139"/>
        <s v="rtv "/>
        <n v="1061"/>
        <n v="10901902"/>
        <n v="316"/>
        <n v="2438"/>
        <n v="1048"/>
        <n v="1892"/>
        <n v="1175"/>
        <n v="754"/>
        <n v="1530"/>
        <n v="1041"/>
        <n v="624"/>
        <s v="1821,342, RTV "/>
        <s v="2109, 1452,1820,2354"/>
        <s v="2023 RTV GOODS PAID 31.5RS TO SP"/>
        <n v="1051"/>
        <n v="9.1710491303149998E+18"/>
        <s v="1418 RTV 5PC"/>
        <n v="1149"/>
        <n v="1282"/>
        <n v="2010"/>
        <n v="1043"/>
        <n v="22862538"/>
        <s v="693, 667,1435"/>
        <s v="1353, 2204"/>
        <n v="7972187"/>
        <s v="1284 (RTV 11PCS )"/>
        <n v="1153"/>
        <n v="225"/>
        <n v="1430"/>
        <n v="2.40285488675214E+20"/>
        <n v="254625672585"/>
        <n v="2535"/>
        <n v="24361301"/>
        <n v="1467"/>
        <s v="2462,2396,2157,"/>
        <n v="1355"/>
        <n v="1317"/>
        <n v="681"/>
        <n v="205523082388"/>
        <n v="1513"/>
        <s v="13831694  GOODS RTV"/>
        <n v="1176"/>
        <s v="1984, 2541,853,982,"/>
        <n v="1537"/>
        <n v="94"/>
        <s v="1314 ( "/>
        <s v="511 ( rtv 3pcs)"/>
        <s v="1351 22052529"/>
        <n v="1267"/>
        <n v="1922"/>
      </sharedItems>
    </cacheField>
    <cacheField name="Ledger No." numFmtId="0">
      <sharedItems containsString="0" containsBlank="1" containsNumber="1" containsInteger="1" minValue="1" maxValue="219" count="19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m/>
        <n v="20"/>
        <n v="21"/>
        <n v="22"/>
        <n v="23"/>
        <n v="24"/>
        <n v="25"/>
        <n v="26"/>
        <n v="27"/>
        <n v="28"/>
        <n v="29"/>
        <n v="30"/>
        <n v="31"/>
        <n v="219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</sharedItems>
    </cacheField>
    <cacheField name="Ledger Bal" numFmtId="0">
      <sharedItems containsString="0" containsBlank="1" containsNumber="1" minValue="-1726.12" maxValue="22912.53" count="111">
        <n v="375"/>
        <n v="4162.5600000000004"/>
        <n v="1387.5"/>
        <n v="187.5"/>
        <n v="600"/>
        <n v="2362.5300000000002"/>
        <n v="975"/>
        <n v="1237.5"/>
        <n v="825"/>
        <n v="1875"/>
        <n v="562.5"/>
        <n v="149.96"/>
        <n v="1725"/>
        <n v="2475"/>
        <n v="1799.47"/>
        <n v="787.5"/>
        <n v="1125"/>
        <n v="450.02"/>
        <m/>
        <n v="562.51"/>
        <n v="900"/>
        <n v="1012.5"/>
        <n v="-1516.59"/>
        <n v="1238"/>
        <n v="598.02"/>
        <n v="1875.02"/>
        <n v="188"/>
        <n v="1650.24"/>
        <n v="750"/>
        <n v="2002.72"/>
        <n v="1537.5"/>
        <n v="449.5"/>
        <n v="187"/>
        <n v="1036.32"/>
        <n v="1500"/>
        <n v="712.5"/>
        <n v="1125.02"/>
        <n v="1162.5"/>
        <n v="1422.5"/>
        <n v="375.01"/>
        <n v="2600"/>
        <n v="1575"/>
        <n v="2886.06"/>
        <n v="1687.52"/>
        <n v="825.01"/>
        <n v="936.5"/>
        <n v="7725"/>
        <n v="1012.49"/>
        <n v="9375"/>
        <n v="412.5"/>
        <n v="787.51"/>
        <n v="374.5"/>
        <n v="0"/>
        <n v="-1726.12"/>
        <n v="1199.5"/>
        <n v="-294.99"/>
        <n v="1800"/>
        <n v="937.5"/>
        <n v="450"/>
        <n v="225"/>
        <n v="937.52"/>
        <n v="93.82"/>
        <n v="1350"/>
        <n v="637.75"/>
        <n v="3212.5"/>
        <n v="1500.03"/>
        <n v="1199.54"/>
        <n v="1613.52"/>
        <n v="907"/>
        <n v="1612.5"/>
        <n v="1236.5"/>
        <n v="2774.53"/>
        <n v="2512.5"/>
        <n v="1312.87"/>
        <n v="-187.5"/>
        <n v="824"/>
        <n v="1080.67"/>
        <n v="1950"/>
        <n v="1050"/>
        <n v="1261.31"/>
        <n v="1386.52"/>
        <n v="2175"/>
        <n v="2800"/>
        <n v="271.52999999999997"/>
        <n v="1049.1199999999999"/>
        <n v="862.04"/>
        <n v="2361"/>
        <n v="337.27"/>
        <n v="1420.91"/>
        <n v="-0.22"/>
        <n v="375.49"/>
        <n v="1500.02"/>
        <n v="1425"/>
        <n v="4387.5"/>
        <n v="862.5"/>
        <n v="1124.1500000000001"/>
        <n v="1762.5"/>
        <n v="1762.6"/>
        <n v="2107.02"/>
        <n v="6938"/>
        <n v="10530"/>
        <n v="3750"/>
        <n v="5284"/>
        <n v="22912.53"/>
        <n v="1275.01"/>
        <n v="3037.54"/>
        <n v="1612.53"/>
        <n v="375.02"/>
        <n v="2400"/>
        <n v="674"/>
        <n v="3500"/>
      </sharedItems>
    </cacheField>
    <cacheField name="Paid" numFmtId="0">
      <sharedItems containsBlank="1" containsMixedTypes="1" containsNumber="1" minValue="0" maxValue="10530"/>
    </cacheField>
    <cacheField name="Remarks" numFmtId="0">
      <sharedItems containsBlank="1"/>
    </cacheField>
    <cacheField name="Status" numFmtId="0">
      <sharedItems count="4">
        <s v="SHUT DOWN"/>
        <s v="PAID"/>
        <s v="UNPAID"/>
        <s v="FULL RT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4">
  <r>
    <s v="PAVAN"/>
    <s v="Any time medical (Malad)"/>
    <x v="0"/>
    <x v="0"/>
    <x v="0"/>
    <x v="0"/>
    <m/>
    <s v="PAVAN"/>
    <x v="0"/>
  </r>
  <r>
    <s v="PAVAN"/>
    <s v="AA Brothers"/>
    <x v="1"/>
    <x v="1"/>
    <x v="1"/>
    <x v="1"/>
    <n v="1275"/>
    <s v="SOUTH"/>
    <x v="1"/>
  </r>
  <r>
    <s v="RAVI"/>
    <s v="Anuraj Medico &amp; General Stores"/>
    <x v="2"/>
    <x v="2"/>
    <x v="2"/>
    <x v="2"/>
    <n v="1387.5"/>
    <s v="RAVI"/>
    <x v="1"/>
  </r>
  <r>
    <s v="RAVI"/>
    <s v="Ajay Grain Store &amp; Provision Kinara"/>
    <x v="3"/>
    <x v="3"/>
    <x v="3"/>
    <x v="3"/>
    <m/>
    <s v="RAVI"/>
    <x v="0"/>
  </r>
  <r>
    <s v="PAVAN"/>
    <s v="Agrawal super market"/>
    <x v="4"/>
    <x v="4"/>
    <x v="4"/>
    <x v="4"/>
    <m/>
    <s v="NAVI"/>
    <x v="2"/>
  </r>
  <r>
    <s v="PAVAN"/>
    <s v="Any Time Medical"/>
    <x v="5"/>
    <x v="5"/>
    <x v="5"/>
    <x v="5"/>
    <n v="2362"/>
    <s v="PAVAN"/>
    <x v="1"/>
  </r>
  <r>
    <s v="RAVI"/>
    <s v="Aum Sai Store"/>
    <x v="2"/>
    <x v="6"/>
    <x v="6"/>
    <x v="6"/>
    <m/>
    <s v="RAVI"/>
    <x v="2"/>
  </r>
  <r>
    <s v="RAVI"/>
    <s v="Anupam sup market"/>
    <x v="6"/>
    <x v="7"/>
    <x v="7"/>
    <x v="7"/>
    <m/>
    <s v="RAVI"/>
    <x v="2"/>
  </r>
  <r>
    <s v="RAVI"/>
    <s v="Ambaji medical mulund west"/>
    <x v="3"/>
    <x v="8"/>
    <x v="8"/>
    <x v="8"/>
    <n v="825"/>
    <s v="RAVI"/>
    <x v="1"/>
  </r>
  <r>
    <s v="RAVI"/>
    <s v="Ambaji medical powai"/>
    <x v="7"/>
    <x v="9"/>
    <x v="9"/>
    <x v="9"/>
    <n v="1875"/>
    <s v="PAVAN"/>
    <x v="1"/>
  </r>
  <r>
    <s v="RAVI"/>
    <s v="Apna Aushadi Bhandar"/>
    <x v="8"/>
    <x v="10"/>
    <x v="10"/>
    <x v="10"/>
    <m/>
    <s v="RAVI"/>
    <x v="3"/>
  </r>
  <r>
    <s v="RAVI"/>
    <s v="Annaporna Foods"/>
    <x v="9"/>
    <x v="11"/>
    <x v="11"/>
    <x v="11"/>
    <n v="150"/>
    <s v="RAVI"/>
    <x v="1"/>
  </r>
  <r>
    <s v="RAVI"/>
    <s v="Ambaji medical surgical ayurvedic"/>
    <x v="6"/>
    <x v="12"/>
    <x v="12"/>
    <x v="12"/>
    <m/>
    <s v="PAVAN"/>
    <x v="2"/>
  </r>
  <r>
    <s v="RAVI"/>
    <s v="Ambaji medical mulund east"/>
    <x v="10"/>
    <x v="13"/>
    <x v="13"/>
    <x v="9"/>
    <m/>
    <s v="RAVI"/>
    <x v="2"/>
  </r>
  <r>
    <s v="PAVAN"/>
    <s v="Ashok General Store"/>
    <x v="1"/>
    <x v="14"/>
    <x v="14"/>
    <x v="10"/>
    <m/>
    <s v="SOUTH"/>
    <x v="2"/>
  </r>
  <r>
    <s v="PAVAN"/>
    <s v="A. R. M chemist and provision"/>
    <x v="1"/>
    <x v="15"/>
    <x v="15"/>
    <x v="10"/>
    <n v="280"/>
    <s v="SOUTH"/>
    <x v="1"/>
  </r>
  <r>
    <s v="PAVAN"/>
    <s v="AMIRI PLUS"/>
    <x v="11"/>
    <x v="16"/>
    <x v="16"/>
    <x v="13"/>
    <n v="2475"/>
    <s v="PAVAN"/>
    <x v="1"/>
  </r>
  <r>
    <s v="PAVAN"/>
    <s v="Anant Foodland"/>
    <x v="12"/>
    <x v="17"/>
    <x v="17"/>
    <x v="14"/>
    <n v="1800"/>
    <s v="PAVAN"/>
    <x v="1"/>
  </r>
  <r>
    <s v="RAVI"/>
    <s v="Ashapura Foods"/>
    <x v="3"/>
    <x v="18"/>
    <x v="18"/>
    <x v="15"/>
    <m/>
    <s v="RAVI"/>
    <x v="2"/>
  </r>
  <r>
    <s v="PAVAN"/>
    <s v="BHARAT DRY FRUIT "/>
    <x v="13"/>
    <x v="11"/>
    <x v="19"/>
    <x v="16"/>
    <n v="1125"/>
    <s v="PAVAN"/>
    <x v="1"/>
  </r>
  <r>
    <s v="PAVAN"/>
    <s v="Bharat Medical &amp; General Stores"/>
    <x v="0"/>
    <x v="19"/>
    <x v="20"/>
    <x v="17"/>
    <m/>
    <s v="PAVAN"/>
    <x v="3"/>
  </r>
  <r>
    <s v="PAVAN"/>
    <s v="BON BON"/>
    <x v="14"/>
    <x v="11"/>
    <x v="19"/>
    <x v="18"/>
    <n v="6900"/>
    <s v="PAVAN"/>
    <x v="1"/>
  </r>
  <r>
    <s v="RAVI"/>
    <s v="Bhogilal Vallabhdas Dry Fruits"/>
    <x v="3"/>
    <x v="20"/>
    <x v="21"/>
    <x v="16"/>
    <m/>
    <s v="RAVI"/>
    <x v="2"/>
  </r>
  <r>
    <s v="RAVI"/>
    <s v="Bhawani dry fruits"/>
    <x v="6"/>
    <x v="21"/>
    <x v="22"/>
    <x v="6"/>
    <m/>
    <s v="PAVAN"/>
    <x v="2"/>
  </r>
  <r>
    <s v="PAVAN"/>
    <s v="Britaniya Grain store"/>
    <x v="1"/>
    <x v="22"/>
    <x v="23"/>
    <x v="6"/>
    <n v="90"/>
    <s v="SOUTH"/>
    <x v="1"/>
  </r>
  <r>
    <s v="RAVI"/>
    <s v="Baby biscuit mart"/>
    <x v="15"/>
    <x v="23"/>
    <x v="24"/>
    <x v="6"/>
    <n v="63"/>
    <s v="RAVI"/>
    <x v="1"/>
  </r>
  <r>
    <s v="PAVAN"/>
    <s v="Bhimji &amp; Sons"/>
    <x v="16"/>
    <x v="24"/>
    <x v="25"/>
    <x v="19"/>
    <m/>
    <s v="PAVAN"/>
    <x v="3"/>
  </r>
  <r>
    <s v="PAVAN"/>
    <s v="Brijwasai Dry Fruits"/>
    <x v="17"/>
    <x v="25"/>
    <x v="26"/>
    <x v="20"/>
    <m/>
    <s v="SOUTH"/>
    <x v="3"/>
  </r>
  <r>
    <s v="RAVI"/>
    <s v="Bombay Dry fruits Cutlery store"/>
    <x v="6"/>
    <x v="26"/>
    <x v="27"/>
    <x v="21"/>
    <m/>
    <s v="PAVAN"/>
    <x v="2"/>
  </r>
  <r>
    <s v="PAVAN"/>
    <s v="Cafe Galleries and Stores"/>
    <x v="1"/>
    <x v="27"/>
    <x v="28"/>
    <x v="22"/>
    <n v="621"/>
    <s v="SOUTH"/>
    <x v="1"/>
  </r>
  <r>
    <s v="PAVAN"/>
    <s v="Champion Foods"/>
    <x v="18"/>
    <x v="11"/>
    <x v="19"/>
    <x v="23"/>
    <n v="1238"/>
    <s v="PAVAN"/>
    <x v="1"/>
  </r>
  <r>
    <s v="PAVAN"/>
    <s v="Corner stone Medical &amp; General Stores"/>
    <x v="19"/>
    <x v="28"/>
    <x v="29"/>
    <x v="24"/>
    <s v="rtv  8pcs "/>
    <s v="PAVAN"/>
    <x v="1"/>
  </r>
  <r>
    <s v="PAVAN"/>
    <s v="Citizen Dry Fruit &amp; general Stores"/>
    <x v="20"/>
    <x v="29"/>
    <x v="30"/>
    <x v="25"/>
    <n v="1862"/>
    <s v="PAVAN"/>
    <x v="1"/>
  </r>
  <r>
    <s v="RAVI"/>
    <s v="Cure And Wellness"/>
    <x v="7"/>
    <x v="30"/>
    <x v="31"/>
    <x v="6"/>
    <m/>
    <s v="RAVI"/>
    <x v="2"/>
  </r>
  <r>
    <s v="PAVAN"/>
    <s v="CURE PHARMA"/>
    <x v="21"/>
    <x v="31"/>
    <x v="32"/>
    <x v="26"/>
    <n v="188"/>
    <s v="PAVAN"/>
    <x v="1"/>
  </r>
  <r>
    <s v="PAVAN"/>
    <s v="Chheda Dry Fruits &amp; Snacks (Walkeshwar)"/>
    <x v="1"/>
    <x v="11"/>
    <x v="33"/>
    <x v="27"/>
    <m/>
    <s v="SOUTH"/>
    <x v="3"/>
  </r>
  <r>
    <s v="RAVI"/>
    <s v="Chandan store Ghatkopar"/>
    <x v="15"/>
    <x v="32"/>
    <x v="34"/>
    <x v="10"/>
    <m/>
    <s v="PAVAN"/>
    <x v="2"/>
  </r>
  <r>
    <s v="RAVI"/>
    <s v="Chandans choice foods"/>
    <x v="8"/>
    <x v="33"/>
    <x v="35"/>
    <x v="6"/>
    <m/>
    <s v="RAVI"/>
    <x v="2"/>
  </r>
  <r>
    <s v="PAVAN"/>
    <s v="Chheda Foods (Santacuraz)"/>
    <x v="22"/>
    <x v="34"/>
    <x v="36"/>
    <x v="28"/>
    <n v="750"/>
    <s v="PAVAN"/>
    <x v="1"/>
  </r>
  <r>
    <s v="PAVAN"/>
    <s v="Celebrity Dry Fruit &amp; Sweets"/>
    <x v="11"/>
    <x v="35"/>
    <x v="37"/>
    <x v="29"/>
    <m/>
    <s v="PAVAN"/>
    <x v="0"/>
  </r>
  <r>
    <s v="PAVAN"/>
    <s v="Crystal pharmacy &amp; Super Market"/>
    <x v="22"/>
    <x v="36"/>
    <x v="38"/>
    <x v="4"/>
    <n v="600"/>
    <s v="PAVAN"/>
    <x v="1"/>
  </r>
  <r>
    <s v="RAVI"/>
    <s v="Celebration Sweets &amp; Dry Food"/>
    <x v="23"/>
    <x v="37"/>
    <x v="39"/>
    <x v="16"/>
    <m/>
    <s v="RAVI"/>
    <x v="2"/>
  </r>
  <r>
    <s v="RAVI"/>
    <s v="Durga Pharmacy"/>
    <x v="10"/>
    <x v="38"/>
    <x v="40"/>
    <x v="30"/>
    <n v="1538"/>
    <s v="RAVI"/>
    <x v="1"/>
  </r>
  <r>
    <s v="PAVAN"/>
    <s v="Everfresh Stores"/>
    <x v="24"/>
    <x v="39"/>
    <x v="41"/>
    <x v="31"/>
    <m/>
    <s v="RAVI"/>
    <x v="2"/>
  </r>
  <r>
    <s v="RAVI"/>
    <s v="Ekta chemist"/>
    <x v="3"/>
    <x v="40"/>
    <x v="42"/>
    <x v="32"/>
    <n v="188"/>
    <s v="RAVI"/>
    <x v="1"/>
  </r>
  <r>
    <s v="PAVAN"/>
    <s v="First Choice Foodland"/>
    <x v="14"/>
    <x v="41"/>
    <x v="43"/>
    <x v="33"/>
    <n v="660"/>
    <s v="PAVAN"/>
    <x v="1"/>
  </r>
  <r>
    <s v="PAVAN"/>
    <s v="Fit n trim gym"/>
    <x v="14"/>
    <x v="42"/>
    <x v="44"/>
    <x v="34"/>
    <m/>
    <s v="PAVAN"/>
    <x v="3"/>
  </r>
  <r>
    <s v="RAVI"/>
    <s v="Foodberry Dry Fruits"/>
    <x v="15"/>
    <x v="43"/>
    <x v="45"/>
    <x v="15"/>
    <m/>
    <s v="RAVI"/>
    <x v="2"/>
  </r>
  <r>
    <s v="PAVAN"/>
    <s v="Fresh dryfruits and general stores"/>
    <x v="4"/>
    <x v="44"/>
    <x v="46"/>
    <x v="35"/>
    <n v="410"/>
    <s v="NAVI"/>
    <x v="1"/>
  </r>
  <r>
    <s v="PAVAN"/>
    <s v="Grocer Raja"/>
    <x v="4"/>
    <x v="45"/>
    <x v="47"/>
    <x v="6"/>
    <m/>
    <s v="NAVI"/>
    <x v="3"/>
  </r>
  <r>
    <s v="PAVAN"/>
    <s v="Gala Traders"/>
    <x v="11"/>
    <x v="46"/>
    <x v="48"/>
    <x v="36"/>
    <m/>
    <s v="PAVAN"/>
    <x v="3"/>
  </r>
  <r>
    <s v="RAVI"/>
    <s v="Ganesh medical"/>
    <x v="10"/>
    <x v="47"/>
    <x v="49"/>
    <x v="37"/>
    <m/>
    <m/>
    <x v="2"/>
  </r>
  <r>
    <s v="PAVAN"/>
    <s v="Global Speciality Foods"/>
    <x v="11"/>
    <x v="48"/>
    <x v="50"/>
    <x v="38"/>
    <n v="1281"/>
    <s v="PAVAN"/>
    <x v="1"/>
  </r>
  <r>
    <s v="RAVI"/>
    <s v="Garden dry fruits &amp; General store"/>
    <x v="6"/>
    <x v="49"/>
    <x v="51"/>
    <x v="39"/>
    <m/>
    <m/>
    <x v="2"/>
  </r>
  <r>
    <s v="RAVI"/>
    <s v="G&amp;B Fitness"/>
    <x v="8"/>
    <x v="50"/>
    <x v="52"/>
    <x v="40"/>
    <m/>
    <s v="RAVI"/>
    <x v="2"/>
  </r>
  <r>
    <s v="RAVI"/>
    <s v="Global Medical chemist &amp; drugs"/>
    <x v="8"/>
    <x v="51"/>
    <x v="53"/>
    <x v="41"/>
    <n v="1162"/>
    <s v="RAVI"/>
    <x v="1"/>
  </r>
  <r>
    <s v="RAVI"/>
    <s v="Ganesh Medical And General Store"/>
    <x v="6"/>
    <x v="52"/>
    <x v="54"/>
    <x v="15"/>
    <m/>
    <m/>
    <x v="2"/>
  </r>
  <r>
    <s v="PAVAN"/>
    <s v="General Medical LLP"/>
    <x v="25"/>
    <x v="53"/>
    <x v="55"/>
    <x v="42"/>
    <n v="1559"/>
    <s v="MANORAMA"/>
    <x v="1"/>
  </r>
  <r>
    <s v="PAVAN"/>
    <s v="Gala Food corner"/>
    <x v="10"/>
    <x v="54"/>
    <x v="56"/>
    <x v="43"/>
    <m/>
    <s v="CENTRAL"/>
    <x v="2"/>
  </r>
  <r>
    <s v="PAVAN"/>
    <s v="Gold Coin Medical &amp; General Stores"/>
    <x v="11"/>
    <x v="55"/>
    <x v="57"/>
    <x v="44"/>
    <n v="825"/>
    <s v="PAVAN"/>
    <x v="1"/>
  </r>
  <r>
    <s v="RAVI"/>
    <s v="Hari Om Food Store"/>
    <x v="2"/>
    <x v="56"/>
    <x v="58"/>
    <x v="45"/>
    <n v="188"/>
    <s v="RAVI"/>
    <x v="1"/>
  </r>
  <r>
    <s v="PAVAN"/>
    <s v="Health care"/>
    <x v="4"/>
    <x v="57"/>
    <x v="59"/>
    <x v="46"/>
    <m/>
    <s v="NAVI"/>
    <x v="2"/>
  </r>
  <r>
    <s v="RAVI"/>
    <s v="Harsha Sweet Store"/>
    <x v="26"/>
    <x v="58"/>
    <x v="60"/>
    <x v="4"/>
    <m/>
    <s v="RAVI"/>
    <x v="2"/>
  </r>
  <r>
    <s v="PAVAN"/>
    <s v="Helpline Medical"/>
    <x v="4"/>
    <x v="59"/>
    <x v="61"/>
    <x v="2"/>
    <n v="920"/>
    <s v="NAVI"/>
    <x v="1"/>
  </r>
  <r>
    <s v="PAVAN"/>
    <s v="Hill Top Stores"/>
    <x v="20"/>
    <x v="60"/>
    <x v="62"/>
    <x v="19"/>
    <m/>
    <s v="PAVAN"/>
    <x v="3"/>
  </r>
  <r>
    <s v="PAVAN"/>
    <s v="Heena garn store"/>
    <x v="1"/>
    <x v="61"/>
    <x v="63"/>
    <x v="16"/>
    <m/>
    <s v="SOUTH"/>
    <x v="2"/>
  </r>
  <r>
    <s v="PAVAN"/>
    <s v="Health plus medical (Kandivali)"/>
    <x v="27"/>
    <x v="62"/>
    <x v="64"/>
    <x v="47"/>
    <n v="450"/>
    <s v="PAVAN"/>
    <x v="1"/>
  </r>
  <r>
    <s v="RAVI"/>
    <s v="Hexacorp"/>
    <x v="6"/>
    <x v="63"/>
    <x v="65"/>
    <x v="48"/>
    <m/>
    <m/>
    <x v="2"/>
  </r>
  <r>
    <s v="RAVI"/>
    <s v="In Time General Store"/>
    <x v="7"/>
    <x v="64"/>
    <x v="66"/>
    <x v="49"/>
    <m/>
    <s v="RAVI"/>
    <x v="2"/>
  </r>
  <r>
    <s v="PAVAN"/>
    <s v="Jeevan Society Stores"/>
    <x v="20"/>
    <x v="65"/>
    <x v="67"/>
    <x v="50"/>
    <n v="787"/>
    <s v="PAVAN"/>
    <x v="1"/>
  </r>
  <r>
    <s v="RAVI"/>
    <s v="Jai Mallinath"/>
    <x v="23"/>
    <x v="66"/>
    <x v="68"/>
    <x v="15"/>
    <m/>
    <s v="RAVI"/>
    <x v="2"/>
  </r>
  <r>
    <s v="PAVAN"/>
    <s v="Jems Dry Fruits, Chocolates &amp; Food Stuff"/>
    <x v="28"/>
    <x v="67"/>
    <x v="69"/>
    <x v="19"/>
    <m/>
    <s v="PAVAN"/>
    <x v="0"/>
  </r>
  <r>
    <s v="PAVAN"/>
    <s v="Jalaram Foods"/>
    <x v="5"/>
    <x v="68"/>
    <x v="70"/>
    <x v="19"/>
    <m/>
    <s v="PAVAN"/>
    <x v="0"/>
  </r>
  <r>
    <s v="RAVI"/>
    <s v="Jay Krishna Bhandar"/>
    <x v="29"/>
    <x v="69"/>
    <x v="71"/>
    <x v="51"/>
    <n v="188"/>
    <s v="RAVI"/>
    <x v="1"/>
  </r>
  <r>
    <s v="PAVAN"/>
    <s v="Jay Ganesh super market"/>
    <x v="4"/>
    <x v="70"/>
    <x v="72"/>
    <x v="49"/>
    <m/>
    <s v="NAVI"/>
    <x v="3"/>
  </r>
  <r>
    <s v="RAVI"/>
    <s v="Kesar misri"/>
    <x v="7"/>
    <x v="71"/>
    <x v="73"/>
    <x v="6"/>
    <m/>
    <s v="RAVI"/>
    <x v="2"/>
  </r>
  <r>
    <s v="RAVI"/>
    <s v="Krishna Chemist"/>
    <x v="2"/>
    <x v="72"/>
    <x v="74"/>
    <x v="41"/>
    <m/>
    <s v="RAVI"/>
    <x v="2"/>
  </r>
  <r>
    <s v="PAVAN"/>
    <s v="Khushil Stores"/>
    <x v="11"/>
    <x v="73"/>
    <x v="75"/>
    <x v="36"/>
    <m/>
    <s v="PAVAN"/>
    <x v="0"/>
  </r>
  <r>
    <s v="PAVAN"/>
    <s v="KHUSHI ENTERPRISES"/>
    <x v="5"/>
    <x v="74"/>
    <x v="76"/>
    <x v="52"/>
    <m/>
    <s v="PAVAN"/>
    <x v="3"/>
  </r>
  <r>
    <s v="PAVAN"/>
    <s v="KWIK7"/>
    <x v="1"/>
    <x v="75"/>
    <x v="77"/>
    <x v="53"/>
    <m/>
    <s v="SOUTH"/>
    <x v="0"/>
  </r>
  <r>
    <s v="RAVI"/>
    <s v="Kanchan medical &amp; Gen Store"/>
    <x v="6"/>
    <x v="76"/>
    <x v="78"/>
    <x v="6"/>
    <m/>
    <m/>
    <x v="3"/>
  </r>
  <r>
    <s v="PAVAN"/>
    <s v="K.G.N store"/>
    <x v="1"/>
    <x v="77"/>
    <x v="79"/>
    <x v="4"/>
    <m/>
    <s v="SOUTH"/>
    <x v="3"/>
  </r>
  <r>
    <s v="PAVAN"/>
    <s v="Kairas mediworld"/>
    <x v="11"/>
    <x v="78"/>
    <x v="80"/>
    <x v="15"/>
    <n v="787"/>
    <s v="PAVAN"/>
    <x v="1"/>
  </r>
  <r>
    <s v="PAVAN"/>
    <s v="Lifecure pharmacy"/>
    <x v="0"/>
    <x v="79"/>
    <x v="81"/>
    <x v="54"/>
    <n v="600"/>
    <s v="PAVAN"/>
    <x v="1"/>
  </r>
  <r>
    <s v="PAVAN"/>
    <s v="LIBERTY CHEMIST "/>
    <x v="13"/>
    <x v="11"/>
    <x v="19"/>
    <x v="18"/>
    <m/>
    <s v="PAVAN"/>
    <x v="1"/>
  </r>
  <r>
    <s v="PAVAN"/>
    <s v="Laxmi Dairy"/>
    <x v="30"/>
    <x v="80"/>
    <x v="82"/>
    <x v="55"/>
    <n v="188"/>
    <s v="PAVAN"/>
    <x v="1"/>
  </r>
  <r>
    <s v="PAVAN"/>
    <s v="Laxmi pan shop"/>
    <x v="1"/>
    <x v="81"/>
    <x v="83"/>
    <x v="6"/>
    <m/>
    <s v="SOUTH"/>
    <x v="2"/>
  </r>
  <r>
    <s v="RAVI"/>
    <s v="Lets Bake store"/>
    <x v="10"/>
    <x v="82"/>
    <x v="84"/>
    <x v="15"/>
    <n v="623"/>
    <s v="RAVI"/>
    <x v="1"/>
  </r>
  <r>
    <s v="RAVI"/>
    <s v="Laxmi Medical &amp; General Store"/>
    <x v="31"/>
    <x v="83"/>
    <x v="85"/>
    <x v="56"/>
    <n v="1800"/>
    <s v="RAVI"/>
    <x v="1"/>
  </r>
  <r>
    <s v="RAVI"/>
    <s v="Metro Dryfruit"/>
    <x v="3"/>
    <x v="84"/>
    <x v="86"/>
    <x v="57"/>
    <n v="781"/>
    <s v="RAVI"/>
    <x v="1"/>
  </r>
  <r>
    <s v="RAVI"/>
    <s v="Manpasand Corner"/>
    <x v="32"/>
    <x v="85"/>
    <x v="87"/>
    <x v="6"/>
    <m/>
    <m/>
    <x v="2"/>
  </r>
  <r>
    <s v="RAVI"/>
    <s v="Madan Medical Stores"/>
    <x v="2"/>
    <x v="86"/>
    <x v="88"/>
    <x v="4"/>
    <m/>
    <s v="RAVI"/>
    <x v="2"/>
  </r>
  <r>
    <s v="RAVI"/>
    <s v="Mahavir Chemist"/>
    <x v="32"/>
    <x v="87"/>
    <x v="89"/>
    <x v="2"/>
    <m/>
    <s v="RAVI"/>
    <x v="2"/>
  </r>
  <r>
    <s v="RAVI"/>
    <s v="Malabar store"/>
    <x v="31"/>
    <x v="88"/>
    <x v="90"/>
    <x v="3"/>
    <m/>
    <s v="RAVI"/>
    <x v="2"/>
  </r>
  <r>
    <s v="PAVAN"/>
    <s v="Mohan Medicines"/>
    <x v="12"/>
    <x v="89"/>
    <x v="91"/>
    <x v="36"/>
    <n v="1125"/>
    <s v="PAVAN"/>
    <x v="1"/>
  </r>
  <r>
    <s v="RAVI"/>
    <s v="Maru store"/>
    <x v="6"/>
    <x v="90"/>
    <x v="92"/>
    <x v="58"/>
    <m/>
    <m/>
    <x v="2"/>
  </r>
  <r>
    <s v="PAVAN"/>
    <s v="Maharashtra Medical And Department Store ( Nerul )"/>
    <x v="4"/>
    <x v="91"/>
    <x v="93"/>
    <x v="6"/>
    <n v="375"/>
    <s v="NAVI"/>
    <x v="1"/>
  </r>
  <r>
    <s v="PAVAN"/>
    <s v="Mehoob store"/>
    <x v="1"/>
    <x v="92"/>
    <x v="94"/>
    <x v="49"/>
    <m/>
    <s v="SOUTH"/>
    <x v="3"/>
  </r>
  <r>
    <s v="PAVAN"/>
    <s v="Manish G.store"/>
    <x v="1"/>
    <x v="93"/>
    <x v="95"/>
    <x v="0"/>
    <m/>
    <s v="SOUTH"/>
    <x v="3"/>
  </r>
  <r>
    <s v="PAVAN"/>
    <s v="Manohar Medical and Distributors"/>
    <x v="4"/>
    <x v="94"/>
    <x v="96"/>
    <x v="59"/>
    <m/>
    <s v="NAVI"/>
    <x v="2"/>
  </r>
  <r>
    <s v="PAVAN"/>
    <s v="Mithaas Dry Foods"/>
    <x v="4"/>
    <x v="95"/>
    <x v="97"/>
    <x v="6"/>
    <n v="0"/>
    <s v="NAVI"/>
    <x v="3"/>
  </r>
  <r>
    <s v="RAVI"/>
    <s v="The Medical, medical &amp; general store"/>
    <x v="29"/>
    <x v="96"/>
    <x v="98"/>
    <x v="60"/>
    <m/>
    <s v="RAVI"/>
    <x v="2"/>
  </r>
  <r>
    <s v="RAVI"/>
    <s v="Maruti Chemist &amp; General Stores"/>
    <x v="33"/>
    <x v="97"/>
    <x v="99"/>
    <x v="61"/>
    <m/>
    <s v="RAVI"/>
    <x v="2"/>
  </r>
  <r>
    <s v="RAVI"/>
    <s v="Maa Ashapura Super Market"/>
    <x v="2"/>
    <x v="98"/>
    <x v="100"/>
    <x v="62"/>
    <m/>
    <s v="RAVI"/>
    <x v="2"/>
  </r>
  <r>
    <s v="PAVAN"/>
    <s v="Manilal Store"/>
    <x v="1"/>
    <x v="99"/>
    <x v="101"/>
    <x v="63"/>
    <n v="637"/>
    <s v="SOUTH"/>
    <x v="1"/>
  </r>
  <r>
    <s v="PAVAN"/>
    <s v="Manish super market"/>
    <x v="1"/>
    <x v="100"/>
    <x v="102"/>
    <x v="20"/>
    <n v="375"/>
    <s v="PAVAN"/>
    <x v="1"/>
  </r>
  <r>
    <s v="PAVAN"/>
    <s v="Manglam foods"/>
    <x v="27"/>
    <x v="101"/>
    <x v="103"/>
    <x v="50"/>
    <n v="96"/>
    <s v="PAVAN"/>
    <x v="1"/>
  </r>
  <r>
    <s v="PAVAN"/>
    <s v="Mahesh dry fruit shantacruz E"/>
    <x v="34"/>
    <x v="102"/>
    <x v="104"/>
    <x v="15"/>
    <n v="788"/>
    <s v="PAVAN"/>
    <x v="1"/>
  </r>
  <r>
    <s v="PAVAN"/>
    <s v="Meena Bazar"/>
    <x v="35"/>
    <x v="103"/>
    <x v="105"/>
    <x v="64"/>
    <n v="3212"/>
    <s v="PAVAN"/>
    <x v="1"/>
  </r>
  <r>
    <s v="RAVI"/>
    <s v="Natural Sweets &amp; Snacks"/>
    <x v="36"/>
    <x v="104"/>
    <x v="106"/>
    <x v="65"/>
    <m/>
    <s v="RAVI"/>
    <x v="2"/>
  </r>
  <r>
    <s v="PAVAN"/>
    <s v="NG Food Products"/>
    <x v="17"/>
    <x v="105"/>
    <x v="107"/>
    <x v="66"/>
    <n v="1200"/>
    <s v="PAVAN"/>
    <x v="1"/>
  </r>
  <r>
    <s v="RAVI"/>
    <s v="New MAMJI S medical &amp; general stores"/>
    <x v="7"/>
    <x v="106"/>
    <x v="108"/>
    <x v="67"/>
    <m/>
    <s v="RAVI"/>
    <x v="2"/>
  </r>
  <r>
    <s v="PAVAN"/>
    <s v="NEW ROYAL CHEMIST "/>
    <x v="37"/>
    <x v="11"/>
    <x v="19"/>
    <x v="68"/>
    <s v="PAYTM"/>
    <s v="PAVAN"/>
    <x v="1"/>
  </r>
  <r>
    <s v="PAVAN"/>
    <s v="N.S Stores"/>
    <x v="11"/>
    <x v="107"/>
    <x v="109"/>
    <x v="69"/>
    <n v="1612"/>
    <s v="PAVAN"/>
    <x v="1"/>
  </r>
  <r>
    <s v="RAVI"/>
    <s v="New Mahavir Medical &amp; General Stores"/>
    <x v="2"/>
    <x v="108"/>
    <x v="110"/>
    <x v="15"/>
    <n v="0"/>
    <s v="RAVI"/>
    <x v="3"/>
  </r>
  <r>
    <s v="PAVAN"/>
    <s v="Noble Chemist (Juhu)"/>
    <x v="12"/>
    <x v="109"/>
    <x v="111"/>
    <x v="70"/>
    <n v="1125"/>
    <s v="PAVAN"/>
    <x v="1"/>
  </r>
  <r>
    <s v="PAVAN"/>
    <s v="New Roman Stores"/>
    <x v="11"/>
    <x v="110"/>
    <x v="112"/>
    <x v="71"/>
    <n v="1680"/>
    <s v="PAVAN"/>
    <x v="1"/>
  </r>
  <r>
    <s v="RAVI"/>
    <s v="New Smart Zone Chemist &amp; Super Store"/>
    <x v="32"/>
    <x v="111"/>
    <x v="113"/>
    <x v="21"/>
    <n v="1013"/>
    <s v="RAVI"/>
    <x v="1"/>
  </r>
  <r>
    <s v="PAVAN"/>
    <s v="Noble Medicals (Vile Parle East)"/>
    <x v="38"/>
    <x v="112"/>
    <x v="114"/>
    <x v="21"/>
    <n v="1013"/>
    <s v="PAVAN"/>
    <x v="1"/>
  </r>
  <r>
    <s v="PAVAN"/>
    <s v="Noble Chemist (Azad Nagar - Andheri West)"/>
    <x v="11"/>
    <x v="113"/>
    <x v="115"/>
    <x v="72"/>
    <n v="2512"/>
    <s v="PAVAN"/>
    <x v="1"/>
  </r>
  <r>
    <s v="PAVAN"/>
    <s v="Noble Chemist (Marol - Andheri East)"/>
    <x v="14"/>
    <x v="114"/>
    <x v="116"/>
    <x v="21"/>
    <n v="1013"/>
    <s v="PAVAN"/>
    <x v="1"/>
  </r>
  <r>
    <s v="PAVAN"/>
    <s v="National Dry Fruit &amp; General Store"/>
    <x v="20"/>
    <x v="115"/>
    <x v="117"/>
    <x v="73"/>
    <n v="1136"/>
    <s v="PAVAN"/>
    <x v="1"/>
  </r>
  <r>
    <s v="RAVI"/>
    <s v="Noble Chemist (Ghatkopar)"/>
    <x v="15"/>
    <x v="116"/>
    <x v="118"/>
    <x v="74"/>
    <n v="1725"/>
    <s v="RAVI"/>
    <x v="1"/>
  </r>
  <r>
    <s v="RAVI"/>
    <s v="Nagrik Dry Fruits &amp; Sweet"/>
    <x v="3"/>
    <x v="117"/>
    <x v="119"/>
    <x v="62"/>
    <n v="1350"/>
    <s v="RAVI"/>
    <x v="1"/>
  </r>
  <r>
    <s v="RAVI"/>
    <s v="Nuts n Bites"/>
    <x v="10"/>
    <x v="118"/>
    <x v="120"/>
    <x v="60"/>
    <m/>
    <s v="RAVI"/>
    <x v="2"/>
  </r>
  <r>
    <s v="PAVAN"/>
    <s v="Neha general store"/>
    <x v="1"/>
    <x v="119"/>
    <x v="121"/>
    <x v="49"/>
    <m/>
    <s v="SOUTH"/>
    <x v="3"/>
  </r>
  <r>
    <s v="PAVAN"/>
    <s v="Noble Chemist (Khar)"/>
    <x v="20"/>
    <x v="120"/>
    <x v="122"/>
    <x v="6"/>
    <n v="975"/>
    <s v="PAVAN"/>
    <x v="1"/>
  </r>
  <r>
    <s v="PAVAN"/>
    <s v="Navnath medical"/>
    <x v="4"/>
    <x v="121"/>
    <x v="123"/>
    <x v="58"/>
    <m/>
    <s v="NAVI"/>
    <x v="2"/>
  </r>
  <r>
    <s v="PAVAN"/>
    <s v="Noble Chemist (Mahakali Caves Road - Andheri East)"/>
    <x v="14"/>
    <x v="122"/>
    <x v="124"/>
    <x v="21"/>
    <n v="538"/>
    <s v="PAVAN"/>
    <x v="1"/>
  </r>
  <r>
    <s v="PAVAN"/>
    <s v="Noble Chemist - (J. B. Nagar - Andheri East)"/>
    <x v="14"/>
    <x v="123"/>
    <x v="125"/>
    <x v="21"/>
    <m/>
    <s v="PAVAN"/>
    <x v="2"/>
  </r>
  <r>
    <s v="PAVAN"/>
    <s v="Noble Chemist (Gujrathi Society - Vile Parle East)"/>
    <x v="38"/>
    <x v="124"/>
    <x v="126"/>
    <x v="21"/>
    <n v="1013"/>
    <s v="PAVAN"/>
    <x v="1"/>
  </r>
  <r>
    <s v="RAVI"/>
    <s v="NOBLE MEDICALS"/>
    <x v="2"/>
    <x v="11"/>
    <x v="127"/>
    <x v="75"/>
    <n v="824"/>
    <s v="RAVI"/>
    <x v="1"/>
  </r>
  <r>
    <s v="PAVAN"/>
    <s v="Nut &amp; Pulse"/>
    <x v="12"/>
    <x v="125"/>
    <x v="128"/>
    <x v="76"/>
    <n v="370"/>
    <s v="PAVAN"/>
    <x v="1"/>
  </r>
  <r>
    <s v="RAVI"/>
    <s v="Nagrik Dhanya Bhandar Super Market"/>
    <x v="6"/>
    <x v="126"/>
    <x v="129"/>
    <x v="15"/>
    <m/>
    <m/>
    <x v="2"/>
  </r>
  <r>
    <s v="RAVI"/>
    <s v="Om Sai Medical &amp; General Stores"/>
    <x v="7"/>
    <x v="127"/>
    <x v="130"/>
    <x v="77"/>
    <m/>
    <s v="RAVI"/>
    <x v="2"/>
  </r>
  <r>
    <s v="RAVI"/>
    <s v="Om Aayurved"/>
    <x v="2"/>
    <x v="128"/>
    <x v="131"/>
    <x v="6"/>
    <m/>
    <s v="RAVI"/>
    <x v="2"/>
  </r>
  <r>
    <s v="PAVAN"/>
    <s v="Prabhat dryfoods"/>
    <x v="4"/>
    <x v="129"/>
    <x v="132"/>
    <x v="78"/>
    <n v="1050"/>
    <s v="NAVI"/>
    <x v="1"/>
  </r>
  <r>
    <s v="RAVI"/>
    <s v="Prince medical"/>
    <x v="6"/>
    <x v="130"/>
    <x v="133"/>
    <x v="28"/>
    <m/>
    <m/>
    <x v="2"/>
  </r>
  <r>
    <s v="PAVAN"/>
    <s v="Patel Provision Stores"/>
    <x v="28"/>
    <x v="11"/>
    <x v="134"/>
    <x v="79"/>
    <n v="1262"/>
    <s v="PAVAN"/>
    <x v="1"/>
  </r>
  <r>
    <s v="RAVI"/>
    <s v="Pankaj Variety Stores"/>
    <x v="39"/>
    <x v="131"/>
    <x v="135"/>
    <x v="39"/>
    <m/>
    <s v="PAVAN"/>
    <x v="0"/>
  </r>
  <r>
    <s v="RAVI"/>
    <s v="Parass Gen Stores"/>
    <x v="3"/>
    <x v="132"/>
    <x v="136"/>
    <x v="4"/>
    <m/>
    <s v="RAVI"/>
    <x v="2"/>
  </r>
  <r>
    <s v="PAVAN"/>
    <s v="Prabhat Grahak Bazar"/>
    <x v="0"/>
    <x v="133"/>
    <x v="137"/>
    <x v="19"/>
    <m/>
    <s v="PAVAN"/>
    <x v="0"/>
  </r>
  <r>
    <s v="RAVI"/>
    <s v="Prabhat Super Market"/>
    <x v="7"/>
    <x v="134"/>
    <x v="138"/>
    <x v="80"/>
    <m/>
    <s v="RAVI"/>
    <x v="2"/>
  </r>
  <r>
    <s v="PAVAN"/>
    <s v="P&amp;G Medico"/>
    <x v="4"/>
    <x v="135"/>
    <x v="139"/>
    <x v="81"/>
    <m/>
    <s v="PAVAN"/>
    <x v="2"/>
  </r>
  <r>
    <s v="PAVAN"/>
    <s v="Far Left Retail Pvt Ltd "/>
    <x v="40"/>
    <x v="11"/>
    <x v="19"/>
    <x v="82"/>
    <m/>
    <s v="PAVAN"/>
    <x v="1"/>
  </r>
  <r>
    <s v="PAVAN"/>
    <s v="Rajesh Store"/>
    <x v="22"/>
    <x v="136"/>
    <x v="140"/>
    <x v="83"/>
    <n v="271"/>
    <s v="PAVAN"/>
    <x v="1"/>
  </r>
  <r>
    <s v="PAVAN"/>
    <s v="Roman General store lokhandwala"/>
    <x v="11"/>
    <x v="137"/>
    <x v="141"/>
    <x v="15"/>
    <n v="188"/>
    <s v="PAVAN"/>
    <x v="1"/>
  </r>
  <r>
    <s v="PAVAN"/>
    <s v="Regal Plus"/>
    <x v="28"/>
    <x v="138"/>
    <x v="142"/>
    <x v="84"/>
    <m/>
    <s v="PAVAN"/>
    <x v="2"/>
  </r>
  <r>
    <s v="RAVI"/>
    <s v="Ratana Super Market (Mulund)"/>
    <x v="3"/>
    <x v="139"/>
    <x v="143"/>
    <x v="21"/>
    <m/>
    <s v="RAVI"/>
    <x v="2"/>
  </r>
  <r>
    <s v="PAVAN"/>
    <s v="Regal"/>
    <x v="24"/>
    <x v="140"/>
    <x v="144"/>
    <x v="85"/>
    <m/>
    <s v="RAVI"/>
    <x v="2"/>
  </r>
  <r>
    <s v="PAVAN"/>
    <s v="Ramdev Super Market"/>
    <x v="11"/>
    <x v="141"/>
    <x v="145"/>
    <x v="25"/>
    <m/>
    <s v="PAVAN"/>
    <x v="2"/>
  </r>
  <r>
    <s v="PAVAN"/>
    <s v="Rishikesh Daily Needs"/>
    <x v="7"/>
    <x v="142"/>
    <x v="19"/>
    <x v="86"/>
    <n v="300"/>
    <s v="PAVAN"/>
    <x v="1"/>
  </r>
  <r>
    <s v="PAVAN"/>
    <s v="Shakti general store"/>
    <x v="1"/>
    <x v="143"/>
    <x v="146"/>
    <x v="59"/>
    <n v="200"/>
    <s v="SOUTH"/>
    <x v="1"/>
  </r>
  <r>
    <s v="RAVI"/>
    <s v="Shiv Medical &amp; Ayurvedic General Store"/>
    <x v="3"/>
    <x v="144"/>
    <x v="147"/>
    <x v="3"/>
    <m/>
    <s v="RAVI"/>
    <x v="2"/>
  </r>
  <r>
    <s v="PAVAN"/>
    <s v="Salshi grain stores"/>
    <x v="4"/>
    <x v="145"/>
    <x v="148"/>
    <x v="65"/>
    <m/>
    <s v="NAVI"/>
    <x v="0"/>
  </r>
  <r>
    <s v="PAVAN"/>
    <s v="Sanjivani medical"/>
    <x v="4"/>
    <x v="146"/>
    <x v="149"/>
    <x v="87"/>
    <m/>
    <s v="NAVI"/>
    <x v="2"/>
  </r>
  <r>
    <s v="PAVAN"/>
    <s v="Satguru Chemist"/>
    <x v="1"/>
    <x v="147"/>
    <x v="150"/>
    <x v="88"/>
    <m/>
    <s v="SOUTH"/>
    <x v="2"/>
  </r>
  <r>
    <s v="RAVI"/>
    <s v="Shree Krishna Medical &amp; General Stores"/>
    <x v="2"/>
    <x v="148"/>
    <x v="151"/>
    <x v="89"/>
    <n v="544"/>
    <s v="RAVI"/>
    <x v="1"/>
  </r>
  <r>
    <s v="PAVAN"/>
    <s v="Sugandha Medical &amp; General Stores"/>
    <x v="4"/>
    <x v="149"/>
    <x v="152"/>
    <x v="3"/>
    <n v="188"/>
    <s v="RAVI"/>
    <x v="1"/>
  </r>
  <r>
    <s v="RAVI"/>
    <s v="Sweet corner"/>
    <x v="6"/>
    <x v="150"/>
    <x v="153"/>
    <x v="50"/>
    <m/>
    <m/>
    <x v="3"/>
  </r>
  <r>
    <s v="PAVAN"/>
    <s v="Shree sawmi madical shop"/>
    <x v="1"/>
    <x v="151"/>
    <x v="154"/>
    <x v="28"/>
    <m/>
    <s v="SOUTH"/>
    <x v="2"/>
  </r>
  <r>
    <s v="PAVAN"/>
    <s v="Shree shakti store"/>
    <x v="1"/>
    <x v="152"/>
    <x v="155"/>
    <x v="6"/>
    <m/>
    <s v="SOUTH"/>
    <x v="2"/>
  </r>
  <r>
    <s v="PAVAN"/>
    <s v="Sarvodaya superstore"/>
    <x v="20"/>
    <x v="153"/>
    <x v="156"/>
    <x v="90"/>
    <m/>
    <s v="PAVAN"/>
    <x v="2"/>
  </r>
  <r>
    <s v="PAVAN"/>
    <s v="Welcome Super Market"/>
    <x v="4"/>
    <x v="154"/>
    <x v="157"/>
    <x v="91"/>
    <n v="370"/>
    <s v="PAVAN"/>
    <x v="1"/>
  </r>
  <r>
    <s v="RAVI"/>
    <s v="Star Medico chemist"/>
    <x v="7"/>
    <x v="155"/>
    <x v="158"/>
    <x v="92"/>
    <m/>
    <s v="RAVI"/>
    <x v="2"/>
  </r>
  <r>
    <s v="PAVAN"/>
    <s v="Saamagri store"/>
    <x v="19"/>
    <x v="156"/>
    <x v="159"/>
    <x v="4"/>
    <m/>
    <s v="PAVAN"/>
    <x v="3"/>
  </r>
  <r>
    <s v="PAVAN"/>
    <s v="Sawant trading company"/>
    <x v="1"/>
    <x v="157"/>
    <x v="160"/>
    <x v="6"/>
    <m/>
    <s v="SOUTH"/>
    <x v="2"/>
  </r>
  <r>
    <s v="RAVI"/>
    <s v="Saii Saii Medical Chemist &amp; Druggist"/>
    <x v="31"/>
    <x v="158"/>
    <x v="161"/>
    <x v="93"/>
    <m/>
    <s v="RAVI"/>
    <x v="2"/>
  </r>
  <r>
    <s v="PAVAN"/>
    <s v="Suvisha General Store"/>
    <x v="14"/>
    <x v="159"/>
    <x v="162"/>
    <x v="10"/>
    <n v="406"/>
    <s v="PAVAN"/>
    <x v="1"/>
  </r>
  <r>
    <s v="PAVAN"/>
    <s v="Sahara Super Mart"/>
    <x v="34"/>
    <x v="160"/>
    <x v="163"/>
    <x v="15"/>
    <n v="780"/>
    <s v="PAVAN"/>
    <x v="1"/>
  </r>
  <r>
    <s v="PAVAN"/>
    <s v="Sujal super market"/>
    <x v="4"/>
    <x v="161"/>
    <x v="164"/>
    <x v="6"/>
    <m/>
    <s v="NAVI"/>
    <x v="2"/>
  </r>
  <r>
    <s v="RAVI"/>
    <s v="Shree Dev super market"/>
    <x v="7"/>
    <x v="162"/>
    <x v="165"/>
    <x v="0"/>
    <m/>
    <s v="RAVI"/>
    <x v="2"/>
  </r>
  <r>
    <s v="PAVAN"/>
    <s v="Shree laxmi store"/>
    <x v="17"/>
    <x v="163"/>
    <x v="166"/>
    <x v="51"/>
    <m/>
    <s v="SOUTH"/>
    <x v="2"/>
  </r>
  <r>
    <s v="RAVI"/>
    <s v="Sweet an sor"/>
    <x v="29"/>
    <x v="164"/>
    <x v="167"/>
    <x v="94"/>
    <n v="862"/>
    <s v="RAVI"/>
    <x v="1"/>
  </r>
  <r>
    <s v="PAVAN"/>
    <s v="Super Fit Lifestyle Asia LLP"/>
    <x v="1"/>
    <x v="165"/>
    <x v="168"/>
    <x v="95"/>
    <m/>
    <s v="SOUTH"/>
    <x v="2"/>
  </r>
  <r>
    <s v="RAVI"/>
    <s v="Simply Daksheen"/>
    <x v="33"/>
    <x v="166"/>
    <x v="169"/>
    <x v="96"/>
    <m/>
    <s v="RAVI"/>
    <x v="2"/>
  </r>
  <r>
    <s v="PAVAN"/>
    <s v="Siddhi dryfruits - 1"/>
    <x v="41"/>
    <x v="167"/>
    <x v="170"/>
    <x v="97"/>
    <m/>
    <s v="PAVAN"/>
    <x v="2"/>
  </r>
  <r>
    <s v="RAVI"/>
    <s v="Shri Gayatri Medical &amp; General Store"/>
    <x v="10"/>
    <x v="168"/>
    <x v="171"/>
    <x v="49"/>
    <n v="34"/>
    <s v="RAVI"/>
    <x v="1"/>
  </r>
  <r>
    <s v="PAVAN"/>
    <s v="Shri Ganesh medical"/>
    <x v="4"/>
    <x v="169"/>
    <x v="172"/>
    <x v="3"/>
    <m/>
    <s v="NAVI"/>
    <x v="2"/>
  </r>
  <r>
    <s v="PAVAN"/>
    <s v="Shree Dham Sweet, Dry Fruits"/>
    <x v="16"/>
    <x v="170"/>
    <x v="173"/>
    <x v="19"/>
    <m/>
    <s v="PAVAN"/>
    <x v="2"/>
  </r>
  <r>
    <s v="PAVAN"/>
    <s v="Shree nath Dairy fam"/>
    <x v="1"/>
    <x v="171"/>
    <x v="174"/>
    <x v="58"/>
    <m/>
    <s v="SOUTH"/>
    <x v="2"/>
  </r>
  <r>
    <s v="RAVI"/>
    <s v="Sweet n Sour"/>
    <x v="3"/>
    <x v="172"/>
    <x v="175"/>
    <x v="98"/>
    <m/>
    <s v="RAVI"/>
    <x v="2"/>
  </r>
  <r>
    <s v="PAVAN"/>
    <s v="SAI SIDDHI HOSPITALITY PVT LTD"/>
    <x v="0"/>
    <x v="173"/>
    <x v="176"/>
    <x v="99"/>
    <n v="6938"/>
    <s v="PAVAN"/>
    <x v="1"/>
  </r>
  <r>
    <s v="PAVAN"/>
    <s v="Shree Shakti Marketing"/>
    <x v="42"/>
    <x v="174"/>
    <x v="177"/>
    <x v="100"/>
    <n v="10530"/>
    <s v="PAVAN"/>
    <x v="1"/>
  </r>
  <r>
    <s v="RAVI"/>
    <s v="Tulsi Med. &amp; Gen Store"/>
    <x v="31"/>
    <x v="175"/>
    <x v="178"/>
    <x v="28"/>
    <n v="375"/>
    <s v="RAVI"/>
    <x v="1"/>
  </r>
  <r>
    <s v="PAVAN"/>
    <s v="Tawakkal sweet"/>
    <x v="25"/>
    <x v="176"/>
    <x v="179"/>
    <x v="101"/>
    <m/>
    <s v="SOUTH"/>
    <x v="0"/>
  </r>
  <r>
    <s v="PAVAN"/>
    <s v="The Global Foods Co"/>
    <x v="11"/>
    <x v="11"/>
    <x v="180"/>
    <x v="102"/>
    <n v="2439"/>
    <s v="PAVAN"/>
    <x v="1"/>
  </r>
  <r>
    <s v="PAVAN"/>
    <s v="Trimurti Enterprises"/>
    <x v="1"/>
    <x v="177"/>
    <x v="181"/>
    <x v="103"/>
    <m/>
    <s v="PAVAN"/>
    <x v="1"/>
  </r>
  <r>
    <s v="RAVI"/>
    <s v="We Care Pharmacy"/>
    <x v="43"/>
    <x v="178"/>
    <x v="182"/>
    <x v="10"/>
    <m/>
    <s v="RAVI"/>
    <x v="2"/>
  </r>
  <r>
    <s v="PAVAN"/>
    <s v="Total Foods"/>
    <x v="4"/>
    <x v="179"/>
    <x v="183"/>
    <x v="58"/>
    <m/>
    <s v="NAVI"/>
    <x v="2"/>
  </r>
  <r>
    <s v="PAVAN"/>
    <s v="Utsav dryfurit sweet &amp; farsan"/>
    <x v="38"/>
    <x v="180"/>
    <x v="184"/>
    <x v="104"/>
    <m/>
    <s v="PAVAN"/>
    <x v="0"/>
  </r>
  <r>
    <s v="RAVI"/>
    <s v="V.R.D. retail pvt. Ltd."/>
    <x v="15"/>
    <x v="181"/>
    <x v="185"/>
    <x v="96"/>
    <n v="1763"/>
    <s v="RAVI"/>
    <x v="1"/>
  </r>
  <r>
    <s v="RAVI"/>
    <s v="Vansh Ayurvedic"/>
    <x v="32"/>
    <x v="182"/>
    <x v="186"/>
    <x v="0"/>
    <m/>
    <m/>
    <x v="2"/>
  </r>
  <r>
    <s v="PAVAN"/>
    <s v="Vaibhav Dry Fruits and Sweets"/>
    <x v="39"/>
    <x v="183"/>
    <x v="187"/>
    <x v="105"/>
    <n v="410"/>
    <m/>
    <x v="1"/>
  </r>
  <r>
    <s v="RAVI"/>
    <s v="Shree Venkateshwar Prasad Medical &amp; General Stores"/>
    <x v="43"/>
    <x v="184"/>
    <x v="188"/>
    <x v="3"/>
    <m/>
    <s v="RAVI"/>
    <x v="2"/>
  </r>
  <r>
    <s v="RAVI"/>
    <s v="Vijay general Stores"/>
    <x v="15"/>
    <x v="185"/>
    <x v="189"/>
    <x v="106"/>
    <n v="918"/>
    <s v="RAVI"/>
    <x v="1"/>
  </r>
  <r>
    <s v="PAVAN"/>
    <s v="Vora Brothers"/>
    <x v="1"/>
    <x v="186"/>
    <x v="190"/>
    <x v="58"/>
    <m/>
    <s v="SOUTH"/>
    <x v="2"/>
  </r>
  <r>
    <s v="PAVAN"/>
    <s v="Venus Confectioners"/>
    <x v="28"/>
    <x v="187"/>
    <x v="191"/>
    <x v="19"/>
    <m/>
    <s v="PAVAN"/>
    <x v="0"/>
  </r>
  <r>
    <s v="RAVI"/>
    <s v="Vira Food"/>
    <x v="15"/>
    <x v="188"/>
    <x v="192"/>
    <x v="3"/>
    <m/>
    <s v="RAVI"/>
    <x v="1"/>
  </r>
  <r>
    <s v="PAVAN"/>
    <s v="Welcome Dry Fruit Stores"/>
    <x v="44"/>
    <x v="189"/>
    <x v="193"/>
    <x v="107"/>
    <n v="280"/>
    <s v="PAVAN"/>
    <x v="1"/>
  </r>
  <r>
    <s v="RAVI"/>
    <s v="Willingdon Store Vikhroli"/>
    <x v="33"/>
    <x v="190"/>
    <x v="194"/>
    <x v="108"/>
    <n v="975"/>
    <s v="RAVI"/>
    <x v="1"/>
  </r>
  <r>
    <s v="PAVAN"/>
    <s v="Welcome Genral Store"/>
    <x v="1"/>
    <x v="11"/>
    <x v="195"/>
    <x v="109"/>
    <n v="225"/>
    <s v="SOUTH"/>
    <x v="1"/>
  </r>
  <r>
    <s v="PAVAN"/>
    <s v="YFC Gym"/>
    <x v="25"/>
    <x v="191"/>
    <x v="196"/>
    <x v="110"/>
    <m/>
    <s v="SOUTH"/>
    <x v="0"/>
  </r>
  <r>
    <s v="PAVAN"/>
    <s v="Yogi medicare"/>
    <x v="5"/>
    <x v="192"/>
    <x v="197"/>
    <x v="3"/>
    <n v="188"/>
    <s v="PAVAN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9" firstHeaderRow="1" firstDataRow="1" firstDataCol="1" rowPageCount="1" colPageCount="1"/>
  <pivotFields count="9">
    <pivotField showAll="0"/>
    <pivotField showAll="0"/>
    <pivotField axis="axisRow" showAll="0" sortType="descending">
      <items count="46">
        <item x="14"/>
        <item x="21"/>
        <item x="11"/>
        <item x="40"/>
        <item x="35"/>
        <item x="28"/>
        <item x="23"/>
        <item x="2"/>
        <item x="42"/>
        <item x="8"/>
        <item x="31"/>
        <item x="36"/>
        <item x="15"/>
        <item x="29"/>
        <item x="44"/>
        <item x="5"/>
        <item x="12"/>
        <item x="16"/>
        <item x="41"/>
        <item x="27"/>
        <item x="43"/>
        <item x="26"/>
        <item x="20"/>
        <item x="17"/>
        <item x="13"/>
        <item x="37"/>
        <item x="19"/>
        <item x="0"/>
        <item x="24"/>
        <item x="10"/>
        <item x="3"/>
        <item x="25"/>
        <item x="4"/>
        <item x="7"/>
        <item x="34"/>
        <item x="22"/>
        <item x="1"/>
        <item x="6"/>
        <item x="32"/>
        <item x="33"/>
        <item x="18"/>
        <item x="38"/>
        <item x="30"/>
        <item x="39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94">
        <item x="60"/>
        <item x="187"/>
        <item x="67"/>
        <item x="68"/>
        <item x="73"/>
        <item x="89"/>
        <item x="133"/>
        <item x="96"/>
        <item x="170"/>
        <item x="145"/>
        <item x="99"/>
        <item x="106"/>
        <item x="131"/>
        <item x="153"/>
        <item x="65"/>
        <item x="180"/>
        <item x="49"/>
        <item x="150"/>
        <item x="92"/>
        <item x="22"/>
        <item x="152"/>
        <item x="77"/>
        <item x="163"/>
        <item x="147"/>
        <item x="157"/>
        <item x="119"/>
        <item x="93"/>
        <item x="143"/>
        <item x="3"/>
        <item x="66"/>
        <item x="76"/>
        <item x="36"/>
        <item x="160"/>
        <item x="70"/>
        <item x="129"/>
        <item x="169"/>
        <item x="86"/>
        <item x="132"/>
        <item x="149"/>
        <item x="184"/>
        <item x="4"/>
        <item x="95"/>
        <item x="94"/>
        <item x="121"/>
        <item x="18"/>
        <item x="191"/>
        <item x="161"/>
        <item x="45"/>
        <item x="108"/>
        <item x="179"/>
        <item x="58"/>
        <item x="178"/>
        <item x="97"/>
        <item x="39"/>
        <item x="10"/>
        <item x="128"/>
        <item x="6"/>
        <item x="90"/>
        <item x="100"/>
        <item x="61"/>
        <item x="171"/>
        <item x="176"/>
        <item x="182"/>
        <item x="151"/>
        <item x="186"/>
        <item x="25"/>
        <item x="14"/>
        <item x="81"/>
        <item x="88"/>
        <item x="32"/>
        <item x="52"/>
        <item x="21"/>
        <item x="33"/>
        <item x="148"/>
        <item x="9"/>
        <item x="192"/>
        <item x="162"/>
        <item x="0"/>
        <item x="78"/>
        <item x="120"/>
        <item x="112"/>
        <item x="124"/>
        <item x="114"/>
        <item x="123"/>
        <item x="113"/>
        <item x="62"/>
        <item x="137"/>
        <item x="79"/>
        <item x="26"/>
        <item x="102"/>
        <item x="146"/>
        <item x="103"/>
        <item x="74"/>
        <item x="139"/>
        <item x="126"/>
        <item x="174"/>
        <item x="109"/>
        <item x="118"/>
        <item x="140"/>
        <item x="19"/>
        <item x="141"/>
        <item x="167"/>
        <item x="144"/>
        <item x="130"/>
        <item x="164"/>
        <item x="175"/>
        <item x="16"/>
        <item x="115"/>
        <item x="87"/>
        <item x="181"/>
        <item x="173"/>
        <item x="38"/>
        <item x="2"/>
        <item x="158"/>
        <item x="172"/>
        <item x="85"/>
        <item x="98"/>
        <item x="20"/>
        <item x="117"/>
        <item x="64"/>
        <item x="127"/>
        <item x="30"/>
        <item x="72"/>
        <item x="37"/>
        <item x="168"/>
        <item x="83"/>
        <item x="91"/>
        <item x="188"/>
        <item x="43"/>
        <item x="57"/>
        <item x="29"/>
        <item x="190"/>
        <item x="166"/>
        <item x="47"/>
        <item x="12"/>
        <item x="53"/>
        <item x="51"/>
        <item x="183"/>
        <item x="23"/>
        <item x="28"/>
        <item x="159"/>
        <item x="13"/>
        <item x="46"/>
        <item x="116"/>
        <item x="8"/>
        <item x="7"/>
        <item x="59"/>
        <item x="31"/>
        <item x="82"/>
        <item x="15"/>
        <item x="27"/>
        <item x="135"/>
        <item x="69"/>
        <item x="63"/>
        <item x="34"/>
        <item x="154"/>
        <item x="71"/>
        <item x="185"/>
        <item x="104"/>
        <item x="156"/>
        <item x="122"/>
        <item x="155"/>
        <item x="84"/>
        <item x="40"/>
        <item x="111"/>
        <item x="5"/>
        <item x="110"/>
        <item x="75"/>
        <item x="24"/>
        <item x="56"/>
        <item x="138"/>
        <item x="48"/>
        <item x="177"/>
        <item x="44"/>
        <item x="134"/>
        <item x="107"/>
        <item x="125"/>
        <item x="17"/>
        <item x="54"/>
        <item x="80"/>
        <item x="55"/>
        <item x="189"/>
        <item x="105"/>
        <item x="35"/>
        <item x="41"/>
        <item x="1"/>
        <item x="165"/>
        <item x="101"/>
        <item x="136"/>
        <item x="50"/>
        <item x="42"/>
        <item x="142"/>
        <item x="11"/>
        <item t="default"/>
      </items>
    </pivotField>
    <pivotField showAll="0">
      <items count="1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32"/>
        <item x="19"/>
        <item t="default"/>
      </items>
    </pivotField>
    <pivotField dataField="1" showAll="0">
      <items count="112">
        <item x="53"/>
        <item x="22"/>
        <item x="55"/>
        <item x="74"/>
        <item x="89"/>
        <item x="52"/>
        <item x="61"/>
        <item x="11"/>
        <item x="32"/>
        <item x="3"/>
        <item x="26"/>
        <item x="59"/>
        <item x="83"/>
        <item x="87"/>
        <item x="51"/>
        <item x="0"/>
        <item x="39"/>
        <item x="107"/>
        <item x="90"/>
        <item x="49"/>
        <item x="31"/>
        <item x="58"/>
        <item x="17"/>
        <item x="10"/>
        <item x="19"/>
        <item x="24"/>
        <item x="4"/>
        <item x="63"/>
        <item x="109"/>
        <item x="35"/>
        <item x="28"/>
        <item x="15"/>
        <item x="50"/>
        <item x="75"/>
        <item x="8"/>
        <item x="44"/>
        <item x="85"/>
        <item x="94"/>
        <item x="20"/>
        <item x="68"/>
        <item x="45"/>
        <item x="57"/>
        <item x="60"/>
        <item x="6"/>
        <item x="47"/>
        <item x="21"/>
        <item x="33"/>
        <item x="84"/>
        <item x="78"/>
        <item x="76"/>
        <item x="95"/>
        <item x="16"/>
        <item x="36"/>
        <item x="37"/>
        <item x="54"/>
        <item x="66"/>
        <item x="70"/>
        <item x="7"/>
        <item x="23"/>
        <item x="79"/>
        <item x="104"/>
        <item x="73"/>
        <item x="62"/>
        <item x="80"/>
        <item x="2"/>
        <item x="88"/>
        <item x="38"/>
        <item x="92"/>
        <item x="34"/>
        <item x="91"/>
        <item x="65"/>
        <item x="30"/>
        <item x="41"/>
        <item x="69"/>
        <item x="106"/>
        <item x="67"/>
        <item x="27"/>
        <item x="43"/>
        <item x="12"/>
        <item x="96"/>
        <item x="97"/>
        <item x="14"/>
        <item x="56"/>
        <item x="9"/>
        <item x="25"/>
        <item x="77"/>
        <item x="29"/>
        <item x="98"/>
        <item x="81"/>
        <item x="86"/>
        <item x="5"/>
        <item x="108"/>
        <item x="13"/>
        <item x="72"/>
        <item x="40"/>
        <item x="71"/>
        <item x="82"/>
        <item x="42"/>
        <item x="105"/>
        <item x="64"/>
        <item x="110"/>
        <item x="101"/>
        <item x="1"/>
        <item x="93"/>
        <item x="102"/>
        <item x="99"/>
        <item x="46"/>
        <item x="48"/>
        <item x="100"/>
        <item x="103"/>
        <item x="18"/>
        <item t="default"/>
      </items>
    </pivotField>
    <pivotField showAll="0"/>
    <pivotField showAll="0"/>
    <pivotField axis="axisPage" multipleItemSelectionAllowed="1" showAll="0">
      <items count="5">
        <item h="1" x="3"/>
        <item h="1" x="1"/>
        <item h="1" x="0"/>
        <item x="2"/>
        <item t="default"/>
      </items>
    </pivotField>
  </pivotFields>
  <rowFields count="1">
    <field x="2"/>
  </rowFields>
  <rowItems count="26">
    <i>
      <x v="37"/>
    </i>
    <i>
      <x v="32"/>
    </i>
    <i>
      <x v="33"/>
    </i>
    <i>
      <x v="36"/>
    </i>
    <i>
      <x v="30"/>
    </i>
    <i>
      <x v="29"/>
    </i>
    <i>
      <x v="7"/>
    </i>
    <i>
      <x v="10"/>
    </i>
    <i>
      <x v="9"/>
    </i>
    <i>
      <x v="38"/>
    </i>
    <i>
      <x v="6"/>
    </i>
    <i>
      <x v="2"/>
    </i>
    <i>
      <x v="39"/>
    </i>
    <i>
      <x v="18"/>
    </i>
    <i>
      <x v="11"/>
    </i>
    <i>
      <x v="12"/>
    </i>
    <i>
      <x v="28"/>
    </i>
    <i>
      <x v="5"/>
    </i>
    <i>
      <x/>
    </i>
    <i>
      <x v="13"/>
    </i>
    <i>
      <x v="20"/>
    </i>
    <i>
      <x v="21"/>
    </i>
    <i>
      <x v="17"/>
    </i>
    <i>
      <x v="22"/>
    </i>
    <i>
      <x v="23"/>
    </i>
    <i t="grand">
      <x/>
    </i>
  </rowItems>
  <colItems count="1">
    <i/>
  </colItems>
  <pageFields count="1">
    <pageField fld="8" hier="-1"/>
  </pageFields>
  <dataFields count="1">
    <dataField name="Sum of Ledger Bal" fld="5" baseField="2" baseItem="0" numFmtId="4"/>
  </dataFields>
  <formats count="3">
    <format dxfId="2">
      <pivotArea outline="0" collapsedLevelsAreSubtotals="1" fieldPosition="0"/>
    </format>
    <format dxfId="1">
      <pivotArea dataOnly="0" labelOnly="1" outline="0" fieldPosition="0">
        <references count="1">
          <reference field="8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topLeftCell="A3" workbookViewId="0">
      <selection activeCell="B4" sqref="B4:B20"/>
    </sheetView>
  </sheetViews>
  <sheetFormatPr defaultRowHeight="15" x14ac:dyDescent="0.25"/>
  <cols>
    <col min="1" max="1" width="17.28515625" customWidth="1"/>
    <col min="2" max="2" width="16.85546875" style="38" customWidth="1"/>
  </cols>
  <sheetData>
    <row r="1" spans="1:2" x14ac:dyDescent="0.25">
      <c r="A1" s="36" t="s">
        <v>8</v>
      </c>
      <c r="B1" s="38" t="s">
        <v>26</v>
      </c>
    </row>
    <row r="3" spans="1:2" x14ac:dyDescent="0.25">
      <c r="A3" s="36" t="s">
        <v>353</v>
      </c>
      <c r="B3" s="38" t="s">
        <v>355</v>
      </c>
    </row>
    <row r="4" spans="1:2" x14ac:dyDescent="0.25">
      <c r="A4" s="37" t="s">
        <v>32</v>
      </c>
      <c r="B4" s="38">
        <v>17475.010000000002</v>
      </c>
    </row>
    <row r="5" spans="1:2" x14ac:dyDescent="0.25">
      <c r="A5" s="37" t="s">
        <v>24</v>
      </c>
      <c r="B5" s="38">
        <v>13124.77</v>
      </c>
    </row>
    <row r="6" spans="1:2" x14ac:dyDescent="0.25">
      <c r="A6" s="37" t="s">
        <v>37</v>
      </c>
      <c r="B6" s="38">
        <v>9112.5400000000009</v>
      </c>
    </row>
    <row r="7" spans="1:2" x14ac:dyDescent="0.25">
      <c r="A7" s="37" t="s">
        <v>14</v>
      </c>
      <c r="B7" s="38">
        <v>8807.56</v>
      </c>
    </row>
    <row r="8" spans="1:2" x14ac:dyDescent="0.25">
      <c r="A8" s="37" t="s">
        <v>22</v>
      </c>
      <c r="B8" s="38">
        <v>5819.52</v>
      </c>
    </row>
    <row r="9" spans="1:2" x14ac:dyDescent="0.25">
      <c r="A9" s="37" t="s">
        <v>45</v>
      </c>
      <c r="B9" s="38">
        <v>5662.54</v>
      </c>
    </row>
    <row r="10" spans="1:2" x14ac:dyDescent="0.25">
      <c r="A10" s="37" t="s">
        <v>20</v>
      </c>
      <c r="B10" s="38">
        <v>5475</v>
      </c>
    </row>
    <row r="11" spans="1:2" x14ac:dyDescent="0.25">
      <c r="A11" s="37" t="s">
        <v>183</v>
      </c>
      <c r="B11" s="38">
        <v>4575</v>
      </c>
    </row>
    <row r="12" spans="1:2" x14ac:dyDescent="0.25">
      <c r="A12" s="37" t="s">
        <v>39</v>
      </c>
      <c r="B12" s="38">
        <v>3575</v>
      </c>
    </row>
    <row r="13" spans="1:2" x14ac:dyDescent="0.25">
      <c r="A13" s="37" t="s">
        <v>188</v>
      </c>
      <c r="B13" s="38">
        <v>2737.5</v>
      </c>
    </row>
    <row r="14" spans="1:2" x14ac:dyDescent="0.25">
      <c r="A14" s="37" t="s">
        <v>101</v>
      </c>
      <c r="B14" s="38">
        <v>1912.5</v>
      </c>
    </row>
    <row r="15" spans="1:2" x14ac:dyDescent="0.25">
      <c r="A15" s="37" t="s">
        <v>51</v>
      </c>
      <c r="B15" s="38">
        <v>1875.02</v>
      </c>
    </row>
    <row r="16" spans="1:2" x14ac:dyDescent="0.25">
      <c r="A16" s="37" t="s">
        <v>203</v>
      </c>
      <c r="B16" s="38">
        <v>1856.32</v>
      </c>
    </row>
    <row r="17" spans="1:2" x14ac:dyDescent="0.25">
      <c r="A17" s="37" t="s">
        <v>311</v>
      </c>
      <c r="B17" s="38">
        <v>1762.6</v>
      </c>
    </row>
    <row r="18" spans="1:2" x14ac:dyDescent="0.25">
      <c r="A18" s="37" t="s">
        <v>215</v>
      </c>
      <c r="B18" s="38">
        <v>1500.03</v>
      </c>
    </row>
    <row r="19" spans="1:2" x14ac:dyDescent="0.25">
      <c r="A19" s="37" t="s">
        <v>66</v>
      </c>
      <c r="B19" s="38">
        <v>1350</v>
      </c>
    </row>
    <row r="20" spans="1:2" x14ac:dyDescent="0.25">
      <c r="A20" s="37" t="s">
        <v>105</v>
      </c>
      <c r="B20" s="38">
        <v>1311.54</v>
      </c>
    </row>
    <row r="21" spans="1:2" x14ac:dyDescent="0.25">
      <c r="A21" s="37" t="s">
        <v>157</v>
      </c>
      <c r="B21" s="38">
        <v>1049.1199999999999</v>
      </c>
    </row>
    <row r="22" spans="1:2" x14ac:dyDescent="0.25">
      <c r="A22" s="37" t="s">
        <v>60</v>
      </c>
      <c r="B22" s="38">
        <v>1012.5</v>
      </c>
    </row>
    <row r="23" spans="1:2" x14ac:dyDescent="0.25">
      <c r="A23" s="37" t="s">
        <v>160</v>
      </c>
      <c r="B23" s="38">
        <v>937.52</v>
      </c>
    </row>
    <row r="24" spans="1:2" x14ac:dyDescent="0.25">
      <c r="A24" s="37" t="s">
        <v>328</v>
      </c>
      <c r="B24" s="38">
        <v>750</v>
      </c>
    </row>
    <row r="25" spans="1:2" x14ac:dyDescent="0.25">
      <c r="A25" s="37" t="s">
        <v>143</v>
      </c>
      <c r="B25" s="38">
        <v>600</v>
      </c>
    </row>
    <row r="26" spans="1:2" x14ac:dyDescent="0.25">
      <c r="A26" s="37" t="s">
        <v>69</v>
      </c>
      <c r="B26" s="38">
        <v>562.51</v>
      </c>
    </row>
    <row r="27" spans="1:2" x14ac:dyDescent="0.25">
      <c r="A27" s="37" t="s">
        <v>84</v>
      </c>
      <c r="B27" s="38">
        <v>375.49</v>
      </c>
    </row>
    <row r="28" spans="1:2" x14ac:dyDescent="0.25">
      <c r="A28" s="37" t="s">
        <v>72</v>
      </c>
      <c r="B28" s="38">
        <v>374.5</v>
      </c>
    </row>
    <row r="29" spans="1:2" x14ac:dyDescent="0.25">
      <c r="A29" s="37" t="s">
        <v>354</v>
      </c>
      <c r="B29" s="38">
        <v>93594.090000000026</v>
      </c>
    </row>
    <row r="30" spans="1:2" x14ac:dyDescent="0.25">
      <c r="B30"/>
    </row>
    <row r="31" spans="1:2" x14ac:dyDescent="0.25">
      <c r="B31"/>
    </row>
    <row r="32" spans="1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8"/>
  <sheetViews>
    <sheetView topLeftCell="A53" workbookViewId="0">
      <selection activeCell="E63" sqref="E63"/>
    </sheetView>
  </sheetViews>
  <sheetFormatPr defaultRowHeight="15" x14ac:dyDescent="0.25"/>
  <cols>
    <col min="1" max="1" width="8.85546875" bestFit="1" customWidth="1"/>
    <col min="2" max="2" width="49.5703125" bestFit="1" customWidth="1"/>
    <col min="3" max="3" width="17.28515625" bestFit="1" customWidth="1"/>
    <col min="4" max="4" width="35.85546875" bestFit="1" customWidth="1"/>
    <col min="5" max="5" width="12.85546875" bestFit="1" customWidth="1"/>
    <col min="6" max="6" width="12.42578125" bestFit="1" customWidth="1"/>
    <col min="7" max="7" width="11.42578125" bestFit="1" customWidth="1"/>
    <col min="8" max="8" width="16.85546875" bestFit="1" customWidth="1"/>
    <col min="9" max="9" width="12" bestFit="1" customWidth="1"/>
  </cols>
  <sheetData>
    <row r="1" spans="1:2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5.75" thickBot="1" x14ac:dyDescent="0.3">
      <c r="A2" s="6" t="s">
        <v>9</v>
      </c>
      <c r="B2" s="7" t="s">
        <v>10</v>
      </c>
      <c r="C2" s="6" t="s">
        <v>11</v>
      </c>
      <c r="D2" s="6">
        <v>2030</v>
      </c>
      <c r="E2" s="8">
        <v>1</v>
      </c>
      <c r="F2" s="6">
        <v>375</v>
      </c>
      <c r="G2" s="6"/>
      <c r="H2" s="6" t="s">
        <v>9</v>
      </c>
      <c r="I2" s="7" t="s">
        <v>12</v>
      </c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5.75" thickBot="1" x14ac:dyDescent="0.3">
      <c r="A3" s="9" t="s">
        <v>9</v>
      </c>
      <c r="B3" s="9" t="s">
        <v>13</v>
      </c>
      <c r="C3" s="9" t="s">
        <v>14</v>
      </c>
      <c r="D3" s="10" t="s">
        <v>15</v>
      </c>
      <c r="E3" s="11">
        <v>2</v>
      </c>
      <c r="F3" s="12">
        <v>4162.5600000000004</v>
      </c>
      <c r="G3" s="13">
        <v>1275</v>
      </c>
      <c r="H3" s="9" t="s">
        <v>16</v>
      </c>
      <c r="I3" s="14" t="s">
        <v>17</v>
      </c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5.75" thickBot="1" x14ac:dyDescent="0.3">
      <c r="A4" s="9" t="s">
        <v>18</v>
      </c>
      <c r="B4" s="14" t="s">
        <v>19</v>
      </c>
      <c r="C4" s="9" t="s">
        <v>20</v>
      </c>
      <c r="D4" s="10">
        <v>1508228312001790</v>
      </c>
      <c r="E4" s="11">
        <v>3</v>
      </c>
      <c r="F4" s="12">
        <v>1387.5</v>
      </c>
      <c r="G4" s="9">
        <v>1387.5</v>
      </c>
      <c r="H4" s="9" t="s">
        <v>18</v>
      </c>
      <c r="I4" s="14" t="s">
        <v>17</v>
      </c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5.75" thickBot="1" x14ac:dyDescent="0.3">
      <c r="A5" s="9" t="s">
        <v>18</v>
      </c>
      <c r="B5" s="9" t="s">
        <v>21</v>
      </c>
      <c r="C5" s="9" t="s">
        <v>22</v>
      </c>
      <c r="D5" s="9">
        <v>1088</v>
      </c>
      <c r="E5" s="11">
        <v>4</v>
      </c>
      <c r="F5" s="9">
        <v>187.5</v>
      </c>
      <c r="G5" s="9"/>
      <c r="H5" s="9" t="s">
        <v>18</v>
      </c>
      <c r="I5" s="15" t="s">
        <v>12</v>
      </c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5.75" thickBot="1" x14ac:dyDescent="0.3">
      <c r="A6" s="9" t="s">
        <v>9</v>
      </c>
      <c r="B6" s="9" t="s">
        <v>23</v>
      </c>
      <c r="C6" s="9" t="s">
        <v>24</v>
      </c>
      <c r="D6" s="9">
        <v>1202</v>
      </c>
      <c r="E6" s="11">
        <v>5</v>
      </c>
      <c r="F6" s="34">
        <v>600</v>
      </c>
      <c r="G6" s="13"/>
      <c r="H6" s="9" t="s">
        <v>25</v>
      </c>
      <c r="I6" s="9" t="s">
        <v>26</v>
      </c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5.75" thickBot="1" x14ac:dyDescent="0.3">
      <c r="A7" s="9" t="s">
        <v>9</v>
      </c>
      <c r="B7" s="14" t="s">
        <v>27</v>
      </c>
      <c r="C7" s="9" t="s">
        <v>28</v>
      </c>
      <c r="D7" s="9" t="s">
        <v>29</v>
      </c>
      <c r="E7" s="11">
        <v>6</v>
      </c>
      <c r="F7" s="12">
        <v>2362.5300000000002</v>
      </c>
      <c r="G7" s="9">
        <v>2362</v>
      </c>
      <c r="H7" s="9" t="s">
        <v>9</v>
      </c>
      <c r="I7" s="14" t="s">
        <v>17</v>
      </c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5.75" thickBot="1" x14ac:dyDescent="0.3">
      <c r="A8" s="9" t="s">
        <v>18</v>
      </c>
      <c r="B8" s="9" t="s">
        <v>30</v>
      </c>
      <c r="C8" s="9" t="s">
        <v>20</v>
      </c>
      <c r="D8" s="9">
        <v>1399</v>
      </c>
      <c r="E8" s="11">
        <v>7</v>
      </c>
      <c r="F8" s="34">
        <v>975</v>
      </c>
      <c r="G8" s="9"/>
      <c r="H8" s="9" t="s">
        <v>18</v>
      </c>
      <c r="I8" s="9" t="s">
        <v>26</v>
      </c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5.75" thickBot="1" x14ac:dyDescent="0.3">
      <c r="A9" s="9" t="s">
        <v>18</v>
      </c>
      <c r="B9" s="9" t="s">
        <v>31</v>
      </c>
      <c r="C9" s="9" t="s">
        <v>32</v>
      </c>
      <c r="D9" s="9" t="s">
        <v>33</v>
      </c>
      <c r="E9" s="11">
        <v>8</v>
      </c>
      <c r="F9" s="34">
        <v>1237.5</v>
      </c>
      <c r="G9" s="13"/>
      <c r="H9" s="9" t="s">
        <v>18</v>
      </c>
      <c r="I9" s="9" t="s">
        <v>26</v>
      </c>
      <c r="J9" s="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5.75" thickBot="1" x14ac:dyDescent="0.3">
      <c r="A10" s="9" t="s">
        <v>18</v>
      </c>
      <c r="B10" s="14" t="s">
        <v>34</v>
      </c>
      <c r="C10" s="9" t="s">
        <v>22</v>
      </c>
      <c r="D10" s="16" t="s">
        <v>35</v>
      </c>
      <c r="E10" s="11">
        <v>9</v>
      </c>
      <c r="F10" s="9">
        <v>825</v>
      </c>
      <c r="G10" s="9">
        <v>825</v>
      </c>
      <c r="H10" s="9" t="s">
        <v>18</v>
      </c>
      <c r="I10" s="14" t="s">
        <v>17</v>
      </c>
      <c r="J10" s="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5.75" thickBot="1" x14ac:dyDescent="0.3">
      <c r="A11" s="9" t="s">
        <v>18</v>
      </c>
      <c r="B11" s="14" t="s">
        <v>36</v>
      </c>
      <c r="C11" s="9" t="s">
        <v>37</v>
      </c>
      <c r="D11" s="9">
        <v>1900</v>
      </c>
      <c r="E11" s="11">
        <v>10</v>
      </c>
      <c r="F11" s="9">
        <v>1875</v>
      </c>
      <c r="G11" s="9">
        <v>1875</v>
      </c>
      <c r="H11" s="9" t="s">
        <v>9</v>
      </c>
      <c r="I11" s="17" t="s">
        <v>17</v>
      </c>
      <c r="J11" s="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5.75" thickBot="1" x14ac:dyDescent="0.3">
      <c r="A12" s="9" t="s">
        <v>18</v>
      </c>
      <c r="B12" s="15" t="s">
        <v>38</v>
      </c>
      <c r="C12" s="9" t="s">
        <v>39</v>
      </c>
      <c r="D12" s="9">
        <v>1377</v>
      </c>
      <c r="E12" s="11">
        <v>11</v>
      </c>
      <c r="F12" s="9">
        <v>562.5</v>
      </c>
      <c r="G12" s="9"/>
      <c r="H12" s="9" t="s">
        <v>18</v>
      </c>
      <c r="I12" s="15" t="s">
        <v>40</v>
      </c>
      <c r="J12" s="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5.75" thickBot="1" x14ac:dyDescent="0.3">
      <c r="A13" s="9" t="s">
        <v>18</v>
      </c>
      <c r="B13" s="18" t="s">
        <v>41</v>
      </c>
      <c r="C13" s="13"/>
      <c r="D13" s="13"/>
      <c r="E13" s="11">
        <v>12</v>
      </c>
      <c r="F13" s="9">
        <v>149.96</v>
      </c>
      <c r="G13" s="9">
        <v>150</v>
      </c>
      <c r="H13" s="9" t="s">
        <v>18</v>
      </c>
      <c r="I13" s="14" t="s">
        <v>17</v>
      </c>
      <c r="J13" s="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5.75" thickBot="1" x14ac:dyDescent="0.3">
      <c r="A14" s="9" t="s">
        <v>18</v>
      </c>
      <c r="B14" s="9" t="s">
        <v>42</v>
      </c>
      <c r="C14" s="9" t="s">
        <v>32</v>
      </c>
      <c r="D14" s="9" t="s">
        <v>43</v>
      </c>
      <c r="E14" s="11">
        <v>13</v>
      </c>
      <c r="F14" s="34">
        <v>1725</v>
      </c>
      <c r="G14" s="13"/>
      <c r="H14" s="9" t="s">
        <v>9</v>
      </c>
      <c r="I14" s="9" t="s">
        <v>26</v>
      </c>
      <c r="J14" s="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5.75" thickBot="1" x14ac:dyDescent="0.3">
      <c r="A15" s="9" t="s">
        <v>18</v>
      </c>
      <c r="B15" s="9" t="s">
        <v>44</v>
      </c>
      <c r="C15" s="9" t="s">
        <v>45</v>
      </c>
      <c r="D15" s="9" t="s">
        <v>46</v>
      </c>
      <c r="E15" s="11">
        <v>14</v>
      </c>
      <c r="F15" s="34">
        <v>1875</v>
      </c>
      <c r="G15" s="9"/>
      <c r="H15" s="9" t="s">
        <v>18</v>
      </c>
      <c r="I15" s="9" t="s">
        <v>26</v>
      </c>
      <c r="J15" s="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5.75" thickBot="1" x14ac:dyDescent="0.3">
      <c r="A16" s="9" t="s">
        <v>9</v>
      </c>
      <c r="B16" s="9" t="s">
        <v>47</v>
      </c>
      <c r="C16" s="9" t="s">
        <v>14</v>
      </c>
      <c r="D16" s="9">
        <v>1590</v>
      </c>
      <c r="E16" s="11">
        <v>15</v>
      </c>
      <c r="F16" s="34">
        <v>562.5</v>
      </c>
      <c r="G16" s="13"/>
      <c r="H16" s="9" t="s">
        <v>16</v>
      </c>
      <c r="I16" s="9" t="s">
        <v>26</v>
      </c>
      <c r="J16" s="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5.75" thickBot="1" x14ac:dyDescent="0.3">
      <c r="A17" s="9" t="s">
        <v>9</v>
      </c>
      <c r="B17" s="14" t="s">
        <v>48</v>
      </c>
      <c r="C17" s="9" t="s">
        <v>14</v>
      </c>
      <c r="D17" s="9" t="s">
        <v>49</v>
      </c>
      <c r="E17" s="11">
        <v>16</v>
      </c>
      <c r="F17" s="9">
        <v>562.5</v>
      </c>
      <c r="G17" s="13">
        <v>280</v>
      </c>
      <c r="H17" s="9" t="s">
        <v>16</v>
      </c>
      <c r="I17" s="14" t="s">
        <v>17</v>
      </c>
      <c r="J17" s="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5.75" thickBot="1" x14ac:dyDescent="0.3">
      <c r="A18" s="9" t="s">
        <v>9</v>
      </c>
      <c r="B18" s="14" t="s">
        <v>50</v>
      </c>
      <c r="C18" s="9" t="s">
        <v>51</v>
      </c>
      <c r="D18" s="10">
        <v>25602565</v>
      </c>
      <c r="E18" s="11">
        <v>17</v>
      </c>
      <c r="F18" s="12">
        <v>2475</v>
      </c>
      <c r="G18" s="9">
        <v>2475</v>
      </c>
      <c r="H18" s="9" t="s">
        <v>9</v>
      </c>
      <c r="I18" s="14" t="s">
        <v>17</v>
      </c>
      <c r="J18" s="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5.75" thickBot="1" x14ac:dyDescent="0.3">
      <c r="A19" s="9" t="s">
        <v>9</v>
      </c>
      <c r="B19" s="14" t="s">
        <v>52</v>
      </c>
      <c r="C19" s="9" t="s">
        <v>53</v>
      </c>
      <c r="D19" s="9" t="s">
        <v>54</v>
      </c>
      <c r="E19" s="11">
        <v>18</v>
      </c>
      <c r="F19" s="12">
        <v>1799.47</v>
      </c>
      <c r="G19" s="9">
        <v>1800</v>
      </c>
      <c r="H19" s="9" t="s">
        <v>9</v>
      </c>
      <c r="I19" s="14" t="s">
        <v>17</v>
      </c>
      <c r="J19" s="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5.75" thickBot="1" x14ac:dyDescent="0.3">
      <c r="A20" s="9" t="s">
        <v>18</v>
      </c>
      <c r="B20" s="9" t="s">
        <v>55</v>
      </c>
      <c r="C20" s="9" t="s">
        <v>22</v>
      </c>
      <c r="D20" s="9">
        <v>1247</v>
      </c>
      <c r="E20" s="11">
        <v>19</v>
      </c>
      <c r="F20" s="34">
        <v>787.5</v>
      </c>
      <c r="G20" s="9"/>
      <c r="H20" s="9" t="s">
        <v>18</v>
      </c>
      <c r="I20" s="9" t="s">
        <v>26</v>
      </c>
      <c r="J20" s="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5.75" thickBot="1" x14ac:dyDescent="0.3">
      <c r="A21" s="9" t="s">
        <v>9</v>
      </c>
      <c r="B21" s="14" t="s">
        <v>56</v>
      </c>
      <c r="C21" s="9" t="s">
        <v>57</v>
      </c>
      <c r="D21" s="9"/>
      <c r="E21" s="11"/>
      <c r="F21" s="9">
        <v>1125</v>
      </c>
      <c r="G21" s="9">
        <v>1125</v>
      </c>
      <c r="H21" s="9" t="s">
        <v>9</v>
      </c>
      <c r="I21" s="14" t="s">
        <v>17</v>
      </c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5.75" thickBot="1" x14ac:dyDescent="0.3">
      <c r="A22" s="9" t="s">
        <v>9</v>
      </c>
      <c r="B22" s="15" t="s">
        <v>58</v>
      </c>
      <c r="C22" s="9" t="s">
        <v>11</v>
      </c>
      <c r="D22" s="10">
        <v>1882167</v>
      </c>
      <c r="E22" s="11">
        <v>20</v>
      </c>
      <c r="F22" s="9">
        <v>450.02</v>
      </c>
      <c r="G22" s="13"/>
      <c r="H22" s="9" t="s">
        <v>9</v>
      </c>
      <c r="I22" s="15" t="s">
        <v>40</v>
      </c>
      <c r="J22" s="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5.75" thickBot="1" x14ac:dyDescent="0.3">
      <c r="A23" s="9" t="s">
        <v>9</v>
      </c>
      <c r="B23" s="14" t="s">
        <v>59</v>
      </c>
      <c r="C23" s="9" t="s">
        <v>60</v>
      </c>
      <c r="D23" s="10"/>
      <c r="E23" s="11"/>
      <c r="F23" s="9"/>
      <c r="G23" s="13">
        <v>6900</v>
      </c>
      <c r="H23" s="9" t="s">
        <v>9</v>
      </c>
      <c r="I23" s="14" t="s">
        <v>17</v>
      </c>
      <c r="J23" s="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5.75" thickBot="1" x14ac:dyDescent="0.3">
      <c r="A24" s="9" t="s">
        <v>18</v>
      </c>
      <c r="B24" s="9" t="s">
        <v>61</v>
      </c>
      <c r="C24" s="9" t="s">
        <v>22</v>
      </c>
      <c r="D24" s="9" t="s">
        <v>62</v>
      </c>
      <c r="E24" s="11">
        <v>21</v>
      </c>
      <c r="F24" s="34">
        <v>1125</v>
      </c>
      <c r="G24" s="9"/>
      <c r="H24" s="9" t="s">
        <v>18</v>
      </c>
      <c r="I24" s="9" t="s">
        <v>26</v>
      </c>
      <c r="J24" s="4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5.75" thickBot="1" x14ac:dyDescent="0.3">
      <c r="A25" s="9" t="s">
        <v>18</v>
      </c>
      <c r="B25" s="9" t="s">
        <v>63</v>
      </c>
      <c r="C25" s="9" t="s">
        <v>32</v>
      </c>
      <c r="D25" s="9">
        <v>1664</v>
      </c>
      <c r="E25" s="11">
        <v>22</v>
      </c>
      <c r="F25" s="34">
        <v>975</v>
      </c>
      <c r="G25" s="13"/>
      <c r="H25" s="9" t="s">
        <v>9</v>
      </c>
      <c r="I25" s="9" t="s">
        <v>26</v>
      </c>
      <c r="J25" s="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thickBot="1" x14ac:dyDescent="0.3">
      <c r="A26" s="9" t="s">
        <v>9</v>
      </c>
      <c r="B26" s="14" t="s">
        <v>64</v>
      </c>
      <c r="C26" s="9" t="s">
        <v>14</v>
      </c>
      <c r="D26" s="9">
        <v>1040</v>
      </c>
      <c r="E26" s="11">
        <v>23</v>
      </c>
      <c r="F26" s="12">
        <v>975</v>
      </c>
      <c r="G26" s="13">
        <v>90</v>
      </c>
      <c r="H26" s="9" t="s">
        <v>16</v>
      </c>
      <c r="I26" s="14" t="s">
        <v>17</v>
      </c>
      <c r="J26" s="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thickBot="1" x14ac:dyDescent="0.3">
      <c r="A27" s="9" t="s">
        <v>18</v>
      </c>
      <c r="B27" s="14" t="s">
        <v>65</v>
      </c>
      <c r="C27" s="9" t="s">
        <v>66</v>
      </c>
      <c r="D27" s="9" t="s">
        <v>67</v>
      </c>
      <c r="E27" s="11">
        <v>24</v>
      </c>
      <c r="F27" s="12">
        <v>975</v>
      </c>
      <c r="G27" s="9">
        <v>63</v>
      </c>
      <c r="H27" s="9" t="s">
        <v>18</v>
      </c>
      <c r="I27" s="14" t="s">
        <v>17</v>
      </c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thickBot="1" x14ac:dyDescent="0.3">
      <c r="A28" s="9" t="s">
        <v>9</v>
      </c>
      <c r="B28" s="14" t="s">
        <v>68</v>
      </c>
      <c r="C28" s="9" t="s">
        <v>69</v>
      </c>
      <c r="D28" s="9" t="s">
        <v>70</v>
      </c>
      <c r="E28" s="11">
        <v>25</v>
      </c>
      <c r="F28" s="12">
        <v>562.51</v>
      </c>
      <c r="G28" s="13"/>
      <c r="H28" s="9" t="s">
        <v>9</v>
      </c>
      <c r="I28" s="19" t="s">
        <v>40</v>
      </c>
      <c r="J28" s="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thickBot="1" x14ac:dyDescent="0.3">
      <c r="A29" s="9" t="s">
        <v>9</v>
      </c>
      <c r="B29" s="15" t="s">
        <v>71</v>
      </c>
      <c r="C29" s="9" t="s">
        <v>72</v>
      </c>
      <c r="D29" s="9">
        <v>1562</v>
      </c>
      <c r="E29" s="11">
        <v>26</v>
      </c>
      <c r="F29" s="12">
        <v>900</v>
      </c>
      <c r="G29" s="13"/>
      <c r="H29" s="9" t="s">
        <v>16</v>
      </c>
      <c r="I29" s="15" t="s">
        <v>40</v>
      </c>
      <c r="J29" s="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thickBot="1" x14ac:dyDescent="0.3">
      <c r="A30" s="9" t="s">
        <v>18</v>
      </c>
      <c r="B30" s="9" t="s">
        <v>73</v>
      </c>
      <c r="C30" s="9" t="s">
        <v>32</v>
      </c>
      <c r="D30" s="9">
        <v>2337</v>
      </c>
      <c r="E30" s="11">
        <v>27</v>
      </c>
      <c r="F30" s="34">
        <v>1012.5</v>
      </c>
      <c r="G30" s="13"/>
      <c r="H30" s="9" t="s">
        <v>9</v>
      </c>
      <c r="I30" s="9" t="s">
        <v>26</v>
      </c>
      <c r="J30" s="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thickBot="1" x14ac:dyDescent="0.3">
      <c r="A31" s="9" t="s">
        <v>9</v>
      </c>
      <c r="B31" s="14" t="s">
        <v>74</v>
      </c>
      <c r="C31" s="9" t="s">
        <v>14</v>
      </c>
      <c r="D31" s="9" t="s">
        <v>75</v>
      </c>
      <c r="E31" s="11">
        <v>28</v>
      </c>
      <c r="F31" s="12">
        <v>-1516.59</v>
      </c>
      <c r="G31" s="13">
        <v>621</v>
      </c>
      <c r="H31" s="9" t="s">
        <v>16</v>
      </c>
      <c r="I31" s="14" t="s">
        <v>17</v>
      </c>
      <c r="J31" s="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thickBot="1" x14ac:dyDescent="0.3">
      <c r="A32" s="9" t="s">
        <v>9</v>
      </c>
      <c r="B32" s="14" t="s">
        <v>76</v>
      </c>
      <c r="C32" s="9" t="s">
        <v>77</v>
      </c>
      <c r="D32" s="9"/>
      <c r="E32" s="11"/>
      <c r="F32" s="12">
        <v>1238</v>
      </c>
      <c r="G32" s="13">
        <v>1238</v>
      </c>
      <c r="H32" s="9" t="s">
        <v>9</v>
      </c>
      <c r="I32" s="14" t="s">
        <v>17</v>
      </c>
      <c r="J32" s="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thickBot="1" x14ac:dyDescent="0.3">
      <c r="A33" s="9" t="s">
        <v>9</v>
      </c>
      <c r="B33" s="14" t="s">
        <v>78</v>
      </c>
      <c r="C33" s="9" t="s">
        <v>79</v>
      </c>
      <c r="D33" s="9" t="s">
        <v>80</v>
      </c>
      <c r="E33" s="14">
        <v>29</v>
      </c>
      <c r="F33" s="12">
        <v>598.02</v>
      </c>
      <c r="G33" s="13" t="s">
        <v>81</v>
      </c>
      <c r="H33" s="9" t="s">
        <v>9</v>
      </c>
      <c r="I33" s="14" t="s">
        <v>17</v>
      </c>
      <c r="J33" s="4" t="s">
        <v>82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thickBot="1" x14ac:dyDescent="0.3">
      <c r="A34" s="9" t="s">
        <v>9</v>
      </c>
      <c r="B34" s="14" t="s">
        <v>83</v>
      </c>
      <c r="C34" s="9" t="s">
        <v>84</v>
      </c>
      <c r="D34" s="9" t="s">
        <v>85</v>
      </c>
      <c r="E34" s="11">
        <v>30</v>
      </c>
      <c r="F34" s="12">
        <v>1875.02</v>
      </c>
      <c r="G34" s="13">
        <v>1862</v>
      </c>
      <c r="H34" s="9" t="s">
        <v>9</v>
      </c>
      <c r="I34" s="14" t="s">
        <v>17</v>
      </c>
      <c r="J34" s="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thickBot="1" x14ac:dyDescent="0.3">
      <c r="A35" s="9" t="s">
        <v>18</v>
      </c>
      <c r="B35" s="20" t="s">
        <v>86</v>
      </c>
      <c r="C35" s="20" t="s">
        <v>37</v>
      </c>
      <c r="D35" s="20" t="s">
        <v>87</v>
      </c>
      <c r="E35" s="21">
        <v>31</v>
      </c>
      <c r="F35" s="35">
        <v>975</v>
      </c>
      <c r="G35" s="20"/>
      <c r="H35" s="20" t="s">
        <v>18</v>
      </c>
      <c r="I35" s="20" t="s">
        <v>26</v>
      </c>
      <c r="J35" s="4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thickBot="1" x14ac:dyDescent="0.3">
      <c r="A36" s="22" t="s">
        <v>9</v>
      </c>
      <c r="B36" s="23" t="s">
        <v>88</v>
      </c>
      <c r="C36" s="13" t="s">
        <v>89</v>
      </c>
      <c r="D36" s="13" t="s">
        <v>90</v>
      </c>
      <c r="E36" s="24">
        <v>219</v>
      </c>
      <c r="F36" s="32">
        <v>188</v>
      </c>
      <c r="G36" s="13">
        <v>188</v>
      </c>
      <c r="H36" s="13" t="s">
        <v>9</v>
      </c>
      <c r="I36" s="23" t="s">
        <v>17</v>
      </c>
      <c r="J36" s="4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thickBot="1" x14ac:dyDescent="0.3">
      <c r="A37" s="9" t="s">
        <v>9</v>
      </c>
      <c r="B37" s="7" t="s">
        <v>91</v>
      </c>
      <c r="C37" s="6" t="s">
        <v>14</v>
      </c>
      <c r="D37" s="25"/>
      <c r="E37" s="8">
        <v>32</v>
      </c>
      <c r="F37" s="26">
        <v>1650.24</v>
      </c>
      <c r="G37" s="25"/>
      <c r="H37" s="6" t="s">
        <v>16</v>
      </c>
      <c r="I37" s="7" t="s">
        <v>40</v>
      </c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thickBot="1" x14ac:dyDescent="0.3">
      <c r="A38" s="9" t="s">
        <v>18</v>
      </c>
      <c r="B38" s="9" t="s">
        <v>92</v>
      </c>
      <c r="C38" s="9" t="s">
        <v>66</v>
      </c>
      <c r="D38" s="9">
        <v>1634</v>
      </c>
      <c r="E38" s="11">
        <v>33</v>
      </c>
      <c r="F38" s="34">
        <v>562.5</v>
      </c>
      <c r="G38" s="13"/>
      <c r="H38" s="9" t="s">
        <v>9</v>
      </c>
      <c r="I38" s="9" t="s">
        <v>26</v>
      </c>
      <c r="J38" s="4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thickBot="1" x14ac:dyDescent="0.3">
      <c r="A39" s="9" t="s">
        <v>18</v>
      </c>
      <c r="B39" s="9" t="s">
        <v>93</v>
      </c>
      <c r="C39" s="9" t="s">
        <v>39</v>
      </c>
      <c r="D39" s="9">
        <v>1674</v>
      </c>
      <c r="E39" s="11">
        <v>34</v>
      </c>
      <c r="F39" s="34">
        <v>975</v>
      </c>
      <c r="G39" s="9"/>
      <c r="H39" s="9" t="s">
        <v>18</v>
      </c>
      <c r="I39" s="9" t="s">
        <v>26</v>
      </c>
      <c r="J39" s="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thickBot="1" x14ac:dyDescent="0.3">
      <c r="A40" s="9" t="s">
        <v>9</v>
      </c>
      <c r="B40" s="14" t="s">
        <v>94</v>
      </c>
      <c r="C40" s="9" t="s">
        <v>95</v>
      </c>
      <c r="D40" s="9" t="s">
        <v>96</v>
      </c>
      <c r="E40" s="11">
        <v>35</v>
      </c>
      <c r="F40" s="12">
        <v>750</v>
      </c>
      <c r="G40" s="9">
        <v>750</v>
      </c>
      <c r="H40" s="9" t="s">
        <v>9</v>
      </c>
      <c r="I40" s="14" t="s">
        <v>17</v>
      </c>
      <c r="J40" s="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thickBot="1" x14ac:dyDescent="0.3">
      <c r="A41" s="9" t="s">
        <v>9</v>
      </c>
      <c r="B41" s="15" t="s">
        <v>97</v>
      </c>
      <c r="C41" s="9" t="s">
        <v>51</v>
      </c>
      <c r="D41" s="9" t="s">
        <v>98</v>
      </c>
      <c r="E41" s="11">
        <v>36</v>
      </c>
      <c r="F41" s="12">
        <v>2002.72</v>
      </c>
      <c r="G41" s="13"/>
      <c r="H41" s="9" t="s">
        <v>9</v>
      </c>
      <c r="I41" s="15" t="s">
        <v>12</v>
      </c>
      <c r="J41" s="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thickBot="1" x14ac:dyDescent="0.3">
      <c r="A42" s="9" t="s">
        <v>9</v>
      </c>
      <c r="B42" s="14" t="s">
        <v>99</v>
      </c>
      <c r="C42" s="9" t="s">
        <v>95</v>
      </c>
      <c r="D42" s="9">
        <v>1148</v>
      </c>
      <c r="E42" s="11">
        <v>37</v>
      </c>
      <c r="F42" s="12">
        <v>600</v>
      </c>
      <c r="G42" s="13">
        <v>600</v>
      </c>
      <c r="H42" s="13" t="s">
        <v>9</v>
      </c>
      <c r="I42" s="14" t="s">
        <v>17</v>
      </c>
      <c r="J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thickBot="1" x14ac:dyDescent="0.3">
      <c r="A43" s="9" t="s">
        <v>18</v>
      </c>
      <c r="B43" s="9" t="s">
        <v>100</v>
      </c>
      <c r="C43" s="9" t="s">
        <v>101</v>
      </c>
      <c r="D43" s="9" t="s">
        <v>102</v>
      </c>
      <c r="E43" s="11">
        <v>38</v>
      </c>
      <c r="F43" s="34">
        <v>1125</v>
      </c>
      <c r="G43" s="13"/>
      <c r="H43" s="13" t="s">
        <v>18</v>
      </c>
      <c r="I43" s="9" t="s">
        <v>26</v>
      </c>
      <c r="J43" s="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thickBot="1" x14ac:dyDescent="0.3">
      <c r="A44" s="9" t="s">
        <v>18</v>
      </c>
      <c r="B44" s="14" t="s">
        <v>103</v>
      </c>
      <c r="C44" s="9" t="s">
        <v>45</v>
      </c>
      <c r="D44" s="10">
        <v>1451160620092130</v>
      </c>
      <c r="E44" s="11">
        <v>39</v>
      </c>
      <c r="F44" s="12">
        <v>1537.5</v>
      </c>
      <c r="G44" s="9">
        <v>1538</v>
      </c>
      <c r="H44" s="9" t="s">
        <v>18</v>
      </c>
      <c r="I44" s="14" t="s">
        <v>17</v>
      </c>
      <c r="J44" s="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thickBot="1" x14ac:dyDescent="0.3">
      <c r="A45" s="9" t="s">
        <v>9</v>
      </c>
      <c r="B45" s="9" t="s">
        <v>104</v>
      </c>
      <c r="C45" s="9" t="s">
        <v>105</v>
      </c>
      <c r="D45" s="9">
        <v>1373</v>
      </c>
      <c r="E45" s="9">
        <v>40</v>
      </c>
      <c r="F45" s="34">
        <v>449.5</v>
      </c>
      <c r="G45" s="9"/>
      <c r="H45" s="9" t="s">
        <v>18</v>
      </c>
      <c r="I45" s="9" t="s">
        <v>26</v>
      </c>
      <c r="J45" s="4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thickBot="1" x14ac:dyDescent="0.3">
      <c r="A46" s="9" t="s">
        <v>18</v>
      </c>
      <c r="B46" s="14" t="s">
        <v>106</v>
      </c>
      <c r="C46" s="9" t="s">
        <v>22</v>
      </c>
      <c r="D46" s="9" t="s">
        <v>107</v>
      </c>
      <c r="E46" s="11">
        <v>41</v>
      </c>
      <c r="F46" s="12">
        <v>187</v>
      </c>
      <c r="G46" s="9">
        <v>188</v>
      </c>
      <c r="H46" s="9" t="s">
        <v>18</v>
      </c>
      <c r="I46" s="14" t="s">
        <v>17</v>
      </c>
      <c r="J46" s="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5.75" thickBot="1" x14ac:dyDescent="0.3">
      <c r="A47" s="9" t="s">
        <v>9</v>
      </c>
      <c r="B47" s="14" t="s">
        <v>108</v>
      </c>
      <c r="C47" s="9" t="s">
        <v>60</v>
      </c>
      <c r="D47" s="9" t="s">
        <v>109</v>
      </c>
      <c r="E47" s="11">
        <v>42</v>
      </c>
      <c r="F47" s="12">
        <v>1036.32</v>
      </c>
      <c r="G47" s="13">
        <v>660</v>
      </c>
      <c r="H47" s="13" t="s">
        <v>9</v>
      </c>
      <c r="I47" s="14" t="s">
        <v>17</v>
      </c>
      <c r="J47" s="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5.75" thickBot="1" x14ac:dyDescent="0.3">
      <c r="A48" s="9" t="s">
        <v>9</v>
      </c>
      <c r="B48" s="14" t="s">
        <v>110</v>
      </c>
      <c r="C48" s="9" t="s">
        <v>60</v>
      </c>
      <c r="D48" s="9" t="s">
        <v>111</v>
      </c>
      <c r="E48" s="11">
        <v>43</v>
      </c>
      <c r="F48" s="12">
        <v>1500</v>
      </c>
      <c r="G48" s="13"/>
      <c r="H48" s="13" t="s">
        <v>9</v>
      </c>
      <c r="I48" s="27" t="s">
        <v>40</v>
      </c>
      <c r="J48" s="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5.75" thickBot="1" x14ac:dyDescent="0.3">
      <c r="A49" s="9" t="s">
        <v>18</v>
      </c>
      <c r="B49" s="9" t="s">
        <v>112</v>
      </c>
      <c r="C49" s="9" t="s">
        <v>66</v>
      </c>
      <c r="D49" s="9" t="s">
        <v>113</v>
      </c>
      <c r="E49" s="11">
        <v>44</v>
      </c>
      <c r="F49" s="34">
        <v>787.5</v>
      </c>
      <c r="G49" s="9"/>
      <c r="H49" s="9" t="s">
        <v>18</v>
      </c>
      <c r="I49" s="9" t="s">
        <v>26</v>
      </c>
      <c r="J49" s="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5.75" thickBot="1" x14ac:dyDescent="0.3">
      <c r="A50" s="9" t="s">
        <v>9</v>
      </c>
      <c r="B50" s="14" t="s">
        <v>114</v>
      </c>
      <c r="C50" s="9" t="s">
        <v>24</v>
      </c>
      <c r="D50" s="9" t="s">
        <v>115</v>
      </c>
      <c r="E50" s="11">
        <v>45</v>
      </c>
      <c r="F50" s="12">
        <v>712.5</v>
      </c>
      <c r="G50" s="13">
        <v>410</v>
      </c>
      <c r="H50" s="13" t="s">
        <v>25</v>
      </c>
      <c r="I50" s="14" t="s">
        <v>17</v>
      </c>
      <c r="J50" s="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5.75" thickBot="1" x14ac:dyDescent="0.3">
      <c r="A51" s="9" t="s">
        <v>9</v>
      </c>
      <c r="B51" s="15" t="s">
        <v>116</v>
      </c>
      <c r="C51" s="9" t="s">
        <v>24</v>
      </c>
      <c r="D51" s="9">
        <v>1291</v>
      </c>
      <c r="E51" s="11">
        <v>46</v>
      </c>
      <c r="F51" s="12">
        <v>975</v>
      </c>
      <c r="G51" s="13"/>
      <c r="H51" s="13" t="s">
        <v>25</v>
      </c>
      <c r="I51" s="9" t="s">
        <v>40</v>
      </c>
      <c r="J51" s="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5.75" thickBot="1" x14ac:dyDescent="0.3">
      <c r="A52" s="9" t="s">
        <v>9</v>
      </c>
      <c r="B52" s="15" t="s">
        <v>117</v>
      </c>
      <c r="C52" s="9" t="s">
        <v>51</v>
      </c>
      <c r="D52" s="9" t="s">
        <v>118</v>
      </c>
      <c r="E52" s="11">
        <v>47</v>
      </c>
      <c r="F52" s="12">
        <v>1125.02</v>
      </c>
      <c r="G52" s="13"/>
      <c r="H52" s="13" t="s">
        <v>9</v>
      </c>
      <c r="I52" s="15" t="s">
        <v>40</v>
      </c>
      <c r="J52" s="4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5.75" thickBot="1" x14ac:dyDescent="0.3">
      <c r="A53" s="9" t="s">
        <v>18</v>
      </c>
      <c r="B53" s="9" t="s">
        <v>119</v>
      </c>
      <c r="C53" s="9" t="s">
        <v>45</v>
      </c>
      <c r="D53" s="9" t="s">
        <v>120</v>
      </c>
      <c r="E53" s="11">
        <v>48</v>
      </c>
      <c r="F53" s="34">
        <v>1162.5</v>
      </c>
      <c r="G53" s="13"/>
      <c r="H53" s="13"/>
      <c r="I53" s="9" t="s">
        <v>26</v>
      </c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5.75" thickBot="1" x14ac:dyDescent="0.3">
      <c r="A54" s="9" t="s">
        <v>9</v>
      </c>
      <c r="B54" s="14" t="s">
        <v>121</v>
      </c>
      <c r="C54" s="9" t="s">
        <v>51</v>
      </c>
      <c r="D54" s="9" t="s">
        <v>122</v>
      </c>
      <c r="E54" s="11">
        <v>50</v>
      </c>
      <c r="F54" s="12">
        <v>1422.5</v>
      </c>
      <c r="G54" s="13">
        <v>1281</v>
      </c>
      <c r="H54" s="9" t="s">
        <v>9</v>
      </c>
      <c r="I54" s="18" t="s">
        <v>17</v>
      </c>
      <c r="J54" s="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5.75" thickBot="1" x14ac:dyDescent="0.3">
      <c r="A55" s="9" t="s">
        <v>18</v>
      </c>
      <c r="B55" s="9" t="s">
        <v>123</v>
      </c>
      <c r="C55" s="9" t="s">
        <v>32</v>
      </c>
      <c r="D55" s="9">
        <v>749</v>
      </c>
      <c r="E55" s="11">
        <v>51</v>
      </c>
      <c r="F55" s="34">
        <v>375.01</v>
      </c>
      <c r="G55" s="13"/>
      <c r="H55" s="13"/>
      <c r="I55" s="9" t="s">
        <v>26</v>
      </c>
      <c r="J55" s="4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5.75" thickBot="1" x14ac:dyDescent="0.3">
      <c r="A56" s="9" t="s">
        <v>18</v>
      </c>
      <c r="B56" s="9" t="s">
        <v>124</v>
      </c>
      <c r="C56" s="9" t="s">
        <v>39</v>
      </c>
      <c r="D56" s="9" t="s">
        <v>125</v>
      </c>
      <c r="E56" s="11">
        <v>52</v>
      </c>
      <c r="F56" s="34">
        <v>2600</v>
      </c>
      <c r="G56" s="9"/>
      <c r="H56" s="9" t="s">
        <v>18</v>
      </c>
      <c r="I56" s="9" t="s">
        <v>26</v>
      </c>
      <c r="J56" s="4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5.75" thickBot="1" x14ac:dyDescent="0.3">
      <c r="A57" s="9" t="s">
        <v>18</v>
      </c>
      <c r="B57" s="14" t="s">
        <v>126</v>
      </c>
      <c r="C57" s="9" t="s">
        <v>39</v>
      </c>
      <c r="D57" s="9" t="s">
        <v>127</v>
      </c>
      <c r="E57" s="11">
        <v>53</v>
      </c>
      <c r="F57" s="12">
        <v>1575</v>
      </c>
      <c r="G57" s="9">
        <v>1162</v>
      </c>
      <c r="H57" s="9" t="s">
        <v>18</v>
      </c>
      <c r="I57" s="14" t="s">
        <v>17</v>
      </c>
      <c r="J57" s="4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5.75" thickBot="1" x14ac:dyDescent="0.3">
      <c r="A58" s="9" t="s">
        <v>18</v>
      </c>
      <c r="B58" s="9" t="s">
        <v>128</v>
      </c>
      <c r="C58" s="9" t="s">
        <v>32</v>
      </c>
      <c r="D58" s="9">
        <v>1663</v>
      </c>
      <c r="E58" s="11">
        <v>54</v>
      </c>
      <c r="F58" s="34">
        <v>787.5</v>
      </c>
      <c r="G58" s="13"/>
      <c r="H58" s="13"/>
      <c r="I58" s="9" t="s">
        <v>26</v>
      </c>
      <c r="J58" s="4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5.75" thickBot="1" x14ac:dyDescent="0.3">
      <c r="A59" s="9" t="s">
        <v>9</v>
      </c>
      <c r="B59" s="14" t="s">
        <v>129</v>
      </c>
      <c r="C59" s="9" t="s">
        <v>130</v>
      </c>
      <c r="D59" s="9" t="s">
        <v>131</v>
      </c>
      <c r="E59" s="11">
        <v>55</v>
      </c>
      <c r="F59" s="12">
        <v>2886.06</v>
      </c>
      <c r="G59" s="13">
        <v>1559</v>
      </c>
      <c r="H59" s="13" t="s">
        <v>132</v>
      </c>
      <c r="I59" s="14" t="s">
        <v>17</v>
      </c>
      <c r="J59" s="4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5.75" thickBot="1" x14ac:dyDescent="0.3">
      <c r="A60" s="9" t="s">
        <v>9</v>
      </c>
      <c r="B60" s="9" t="s">
        <v>133</v>
      </c>
      <c r="C60" s="9" t="s">
        <v>45</v>
      </c>
      <c r="D60" s="9" t="s">
        <v>134</v>
      </c>
      <c r="E60" s="11">
        <v>56</v>
      </c>
      <c r="F60" s="34">
        <v>1687.52</v>
      </c>
      <c r="G60" s="13"/>
      <c r="H60" s="13" t="s">
        <v>135</v>
      </c>
      <c r="I60" s="9" t="s">
        <v>26</v>
      </c>
      <c r="J60" s="4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5.75" thickBot="1" x14ac:dyDescent="0.3">
      <c r="A61" s="9" t="s">
        <v>9</v>
      </c>
      <c r="B61" s="14" t="s">
        <v>136</v>
      </c>
      <c r="C61" s="9" t="s">
        <v>51</v>
      </c>
      <c r="D61" s="9" t="s">
        <v>137</v>
      </c>
      <c r="E61" s="11">
        <v>57</v>
      </c>
      <c r="F61" s="12">
        <v>825.01</v>
      </c>
      <c r="G61" s="9">
        <v>825</v>
      </c>
      <c r="H61" s="9" t="s">
        <v>9</v>
      </c>
      <c r="I61" s="14" t="s">
        <v>17</v>
      </c>
      <c r="J61" s="4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5.75" thickBot="1" x14ac:dyDescent="0.3">
      <c r="A62" s="9" t="s">
        <v>18</v>
      </c>
      <c r="B62" s="14" t="s">
        <v>138</v>
      </c>
      <c r="C62" s="9" t="s">
        <v>20</v>
      </c>
      <c r="D62" s="9" t="s">
        <v>139</v>
      </c>
      <c r="E62" s="11">
        <v>58</v>
      </c>
      <c r="F62" s="12">
        <v>936.5</v>
      </c>
      <c r="G62" s="9">
        <v>188</v>
      </c>
      <c r="H62" s="9" t="s">
        <v>18</v>
      </c>
      <c r="I62" s="14" t="s">
        <v>17</v>
      </c>
      <c r="J62" s="4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5.75" thickBot="1" x14ac:dyDescent="0.3">
      <c r="A63" s="9" t="s">
        <v>9</v>
      </c>
      <c r="B63" s="9" t="s">
        <v>140</v>
      </c>
      <c r="C63" s="9" t="s">
        <v>24</v>
      </c>
      <c r="D63" s="9" t="s">
        <v>141</v>
      </c>
      <c r="E63" s="11">
        <v>59</v>
      </c>
      <c r="F63" s="34">
        <v>7725</v>
      </c>
      <c r="G63" s="13"/>
      <c r="H63" s="13" t="s">
        <v>25</v>
      </c>
      <c r="I63" s="9" t="s">
        <v>26</v>
      </c>
      <c r="J63" s="4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5.75" thickBot="1" x14ac:dyDescent="0.3">
      <c r="A64" s="9" t="s">
        <v>18</v>
      </c>
      <c r="B64" s="9" t="s">
        <v>142</v>
      </c>
      <c r="C64" s="9" t="s">
        <v>143</v>
      </c>
      <c r="D64" s="9">
        <v>1354</v>
      </c>
      <c r="E64" s="11">
        <v>60</v>
      </c>
      <c r="F64" s="34">
        <v>600</v>
      </c>
      <c r="G64" s="9"/>
      <c r="H64" s="9" t="s">
        <v>18</v>
      </c>
      <c r="I64" s="9" t="s">
        <v>26</v>
      </c>
      <c r="J64" s="4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5.75" thickBot="1" x14ac:dyDescent="0.3">
      <c r="A65" s="9" t="s">
        <v>9</v>
      </c>
      <c r="B65" s="14" t="s">
        <v>144</v>
      </c>
      <c r="C65" s="9" t="s">
        <v>24</v>
      </c>
      <c r="D65" s="9" t="s">
        <v>145</v>
      </c>
      <c r="E65" s="11">
        <v>61</v>
      </c>
      <c r="F65" s="12">
        <v>1387.5</v>
      </c>
      <c r="G65" s="13">
        <v>920</v>
      </c>
      <c r="H65" s="13" t="s">
        <v>25</v>
      </c>
      <c r="I65" s="14" t="s">
        <v>17</v>
      </c>
      <c r="J65" s="4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5.75" thickBot="1" x14ac:dyDescent="0.3">
      <c r="A66" s="9" t="s">
        <v>9</v>
      </c>
      <c r="B66" s="15" t="s">
        <v>146</v>
      </c>
      <c r="C66" s="9" t="s">
        <v>84</v>
      </c>
      <c r="D66" s="9">
        <v>91</v>
      </c>
      <c r="E66" s="11">
        <v>62</v>
      </c>
      <c r="F66" s="12">
        <v>562.51</v>
      </c>
      <c r="G66" s="13"/>
      <c r="H66" s="9" t="s">
        <v>9</v>
      </c>
      <c r="I66" s="15" t="s">
        <v>40</v>
      </c>
      <c r="J66" s="4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5.75" thickBot="1" x14ac:dyDescent="0.3">
      <c r="A67" s="9" t="s">
        <v>9</v>
      </c>
      <c r="B67" s="9" t="s">
        <v>147</v>
      </c>
      <c r="C67" s="9" t="s">
        <v>14</v>
      </c>
      <c r="D67" s="9">
        <v>1422</v>
      </c>
      <c r="E67" s="11">
        <v>63</v>
      </c>
      <c r="F67" s="34">
        <v>1125</v>
      </c>
      <c r="G67" s="13"/>
      <c r="H67" s="13" t="s">
        <v>16</v>
      </c>
      <c r="I67" s="9" t="s">
        <v>26</v>
      </c>
      <c r="J67" s="4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5.75" thickBot="1" x14ac:dyDescent="0.3">
      <c r="A68" s="9" t="s">
        <v>9</v>
      </c>
      <c r="B68" s="14" t="s">
        <v>148</v>
      </c>
      <c r="C68" s="9" t="s">
        <v>149</v>
      </c>
      <c r="D68" s="9">
        <v>2186</v>
      </c>
      <c r="E68" s="11">
        <v>64</v>
      </c>
      <c r="F68" s="12">
        <v>1012.49</v>
      </c>
      <c r="G68" s="13">
        <v>450</v>
      </c>
      <c r="H68" s="13" t="s">
        <v>9</v>
      </c>
      <c r="I68" s="14" t="s">
        <v>17</v>
      </c>
      <c r="J68" s="4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5.75" thickBot="1" x14ac:dyDescent="0.3">
      <c r="A69" s="9" t="s">
        <v>18</v>
      </c>
      <c r="B69" s="9" t="s">
        <v>150</v>
      </c>
      <c r="C69" s="9" t="s">
        <v>32</v>
      </c>
      <c r="D69" s="9" t="s">
        <v>151</v>
      </c>
      <c r="E69" s="11">
        <v>65</v>
      </c>
      <c r="F69" s="34">
        <v>9375</v>
      </c>
      <c r="G69" s="13"/>
      <c r="H69" s="13"/>
      <c r="I69" s="9" t="s">
        <v>26</v>
      </c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5.75" thickBot="1" x14ac:dyDescent="0.3">
      <c r="A70" s="9" t="s">
        <v>18</v>
      </c>
      <c r="B70" s="9" t="s">
        <v>152</v>
      </c>
      <c r="C70" s="9" t="s">
        <v>37</v>
      </c>
      <c r="D70" s="9" t="s">
        <v>153</v>
      </c>
      <c r="E70" s="11">
        <v>66</v>
      </c>
      <c r="F70" s="34">
        <v>412.5</v>
      </c>
      <c r="G70" s="9"/>
      <c r="H70" s="9" t="s">
        <v>18</v>
      </c>
      <c r="I70" s="9" t="s">
        <v>26</v>
      </c>
      <c r="J70" s="4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5.75" thickBot="1" x14ac:dyDescent="0.3">
      <c r="A71" s="9" t="s">
        <v>9</v>
      </c>
      <c r="B71" s="14" t="s">
        <v>154</v>
      </c>
      <c r="C71" s="9" t="s">
        <v>84</v>
      </c>
      <c r="D71" s="9">
        <v>668</v>
      </c>
      <c r="E71" s="11">
        <v>67</v>
      </c>
      <c r="F71" s="12">
        <v>787.51</v>
      </c>
      <c r="G71" s="9">
        <v>787</v>
      </c>
      <c r="H71" s="9" t="s">
        <v>9</v>
      </c>
      <c r="I71" s="14" t="s">
        <v>17</v>
      </c>
      <c r="J71" s="4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5.75" thickBot="1" x14ac:dyDescent="0.3">
      <c r="A72" s="9" t="s">
        <v>18</v>
      </c>
      <c r="B72" s="9" t="s">
        <v>155</v>
      </c>
      <c r="C72" s="9" t="s">
        <v>101</v>
      </c>
      <c r="D72" s="9">
        <v>1126</v>
      </c>
      <c r="E72" s="11">
        <v>68</v>
      </c>
      <c r="F72" s="34">
        <v>787.5</v>
      </c>
      <c r="G72" s="9"/>
      <c r="H72" s="9" t="s">
        <v>18</v>
      </c>
      <c r="I72" s="9" t="s">
        <v>26</v>
      </c>
      <c r="J72" s="4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5.75" thickBot="1" x14ac:dyDescent="0.3">
      <c r="A73" s="9" t="s">
        <v>9</v>
      </c>
      <c r="B73" s="15" t="s">
        <v>156</v>
      </c>
      <c r="C73" s="9" t="s">
        <v>157</v>
      </c>
      <c r="D73" s="9">
        <v>95</v>
      </c>
      <c r="E73" s="11">
        <v>69</v>
      </c>
      <c r="F73" s="12">
        <v>562.51</v>
      </c>
      <c r="G73" s="13"/>
      <c r="H73" s="9" t="s">
        <v>9</v>
      </c>
      <c r="I73" s="15" t="s">
        <v>12</v>
      </c>
      <c r="J73" s="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5.75" thickBot="1" x14ac:dyDescent="0.3">
      <c r="A74" s="9" t="s">
        <v>9</v>
      </c>
      <c r="B74" s="15" t="s">
        <v>158</v>
      </c>
      <c r="C74" s="9" t="s">
        <v>28</v>
      </c>
      <c r="D74" s="9">
        <v>104</v>
      </c>
      <c r="E74" s="11">
        <v>70</v>
      </c>
      <c r="F74" s="12">
        <v>562.51</v>
      </c>
      <c r="G74" s="13"/>
      <c r="H74" s="9" t="s">
        <v>9</v>
      </c>
      <c r="I74" s="15" t="s">
        <v>12</v>
      </c>
      <c r="J74" s="4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5.75" thickBot="1" x14ac:dyDescent="0.3">
      <c r="A75" s="9" t="s">
        <v>18</v>
      </c>
      <c r="B75" s="9" t="s">
        <v>159</v>
      </c>
      <c r="C75" s="9" t="s">
        <v>160</v>
      </c>
      <c r="D75" s="9" t="s">
        <v>161</v>
      </c>
      <c r="E75" s="11">
        <v>71</v>
      </c>
      <c r="F75" s="12">
        <v>374.5</v>
      </c>
      <c r="G75" s="9">
        <v>188</v>
      </c>
      <c r="H75" s="9" t="s">
        <v>18</v>
      </c>
      <c r="I75" s="14" t="s">
        <v>17</v>
      </c>
      <c r="J75" s="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5.75" thickBot="1" x14ac:dyDescent="0.3">
      <c r="A76" s="9" t="s">
        <v>9</v>
      </c>
      <c r="B76" s="15" t="s">
        <v>162</v>
      </c>
      <c r="C76" s="9" t="s">
        <v>24</v>
      </c>
      <c r="D76" s="9">
        <v>1150</v>
      </c>
      <c r="E76" s="11">
        <v>72</v>
      </c>
      <c r="F76" s="12">
        <v>412.5</v>
      </c>
      <c r="G76" s="13"/>
      <c r="H76" s="13" t="s">
        <v>25</v>
      </c>
      <c r="I76" s="9" t="s">
        <v>40</v>
      </c>
      <c r="J76" s="4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5.75" thickBot="1" x14ac:dyDescent="0.3">
      <c r="A77" s="9" t="s">
        <v>18</v>
      </c>
      <c r="B77" s="9" t="s">
        <v>163</v>
      </c>
      <c r="C77" s="9" t="s">
        <v>37</v>
      </c>
      <c r="D77" s="9" t="s">
        <v>164</v>
      </c>
      <c r="E77" s="11">
        <v>73</v>
      </c>
      <c r="F77" s="34">
        <v>975</v>
      </c>
      <c r="G77" s="9"/>
      <c r="H77" s="9" t="s">
        <v>18</v>
      </c>
      <c r="I77" s="9" t="s">
        <v>26</v>
      </c>
      <c r="J77" s="4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5.75" thickBot="1" x14ac:dyDescent="0.3">
      <c r="A78" s="9" t="s">
        <v>18</v>
      </c>
      <c r="B78" s="9" t="s">
        <v>165</v>
      </c>
      <c r="C78" s="9" t="s">
        <v>20</v>
      </c>
      <c r="D78" s="9" t="s">
        <v>166</v>
      </c>
      <c r="E78" s="11">
        <v>74</v>
      </c>
      <c r="F78" s="34">
        <v>1575</v>
      </c>
      <c r="G78" s="9"/>
      <c r="H78" s="9" t="s">
        <v>18</v>
      </c>
      <c r="I78" s="9" t="s">
        <v>26</v>
      </c>
      <c r="J78" s="4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5.75" thickBot="1" x14ac:dyDescent="0.3">
      <c r="A79" s="9" t="s">
        <v>9</v>
      </c>
      <c r="B79" s="15" t="s">
        <v>167</v>
      </c>
      <c r="C79" s="9" t="s">
        <v>51</v>
      </c>
      <c r="D79" s="9">
        <v>122</v>
      </c>
      <c r="E79" s="11">
        <v>75</v>
      </c>
      <c r="F79" s="12">
        <v>1125.02</v>
      </c>
      <c r="G79" s="13"/>
      <c r="H79" s="9" t="s">
        <v>9</v>
      </c>
      <c r="I79" s="15" t="s">
        <v>12</v>
      </c>
      <c r="J79" s="4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5.75" thickBot="1" x14ac:dyDescent="0.3">
      <c r="A80" s="9" t="s">
        <v>9</v>
      </c>
      <c r="B80" s="15" t="s">
        <v>168</v>
      </c>
      <c r="C80" s="9" t="s">
        <v>28</v>
      </c>
      <c r="D80" s="9">
        <v>2449</v>
      </c>
      <c r="E80" s="11">
        <v>76</v>
      </c>
      <c r="F80" s="12">
        <v>0</v>
      </c>
      <c r="G80" s="13"/>
      <c r="H80" s="9" t="s">
        <v>9</v>
      </c>
      <c r="I80" s="15" t="s">
        <v>40</v>
      </c>
      <c r="J80" s="4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5.75" thickBot="1" x14ac:dyDescent="0.3">
      <c r="A81" s="9" t="s">
        <v>9</v>
      </c>
      <c r="B81" s="15" t="s">
        <v>169</v>
      </c>
      <c r="C81" s="9" t="s">
        <v>14</v>
      </c>
      <c r="D81" s="9" t="s">
        <v>170</v>
      </c>
      <c r="E81" s="11">
        <v>77</v>
      </c>
      <c r="F81" s="12">
        <v>-1726.12</v>
      </c>
      <c r="G81" s="13"/>
      <c r="H81" s="13" t="s">
        <v>16</v>
      </c>
      <c r="I81" s="15" t="s">
        <v>12</v>
      </c>
      <c r="J81" s="4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5.75" thickBot="1" x14ac:dyDescent="0.3">
      <c r="A82" s="9" t="s">
        <v>18</v>
      </c>
      <c r="B82" s="15" t="s">
        <v>171</v>
      </c>
      <c r="C82" s="9" t="s">
        <v>32</v>
      </c>
      <c r="D82" s="9">
        <v>1139</v>
      </c>
      <c r="E82" s="11">
        <v>78</v>
      </c>
      <c r="F82" s="12">
        <v>975</v>
      </c>
      <c r="G82" s="13"/>
      <c r="H82" s="13"/>
      <c r="I82" s="15" t="s">
        <v>40</v>
      </c>
      <c r="J82" s="4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5.75" thickBot="1" x14ac:dyDescent="0.3">
      <c r="A83" s="9" t="s">
        <v>9</v>
      </c>
      <c r="B83" s="15" t="s">
        <v>172</v>
      </c>
      <c r="C83" s="9" t="s">
        <v>14</v>
      </c>
      <c r="D83" s="9">
        <v>1042</v>
      </c>
      <c r="E83" s="11">
        <v>79</v>
      </c>
      <c r="F83" s="12">
        <v>600</v>
      </c>
      <c r="G83" s="13"/>
      <c r="H83" s="13" t="s">
        <v>16</v>
      </c>
      <c r="I83" s="15" t="s">
        <v>40</v>
      </c>
      <c r="J83" s="4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5.75" thickBot="1" x14ac:dyDescent="0.3">
      <c r="A84" s="9" t="s">
        <v>9</v>
      </c>
      <c r="B84" s="14" t="s">
        <v>173</v>
      </c>
      <c r="C84" s="9" t="s">
        <v>51</v>
      </c>
      <c r="D84" s="9">
        <v>2061</v>
      </c>
      <c r="E84" s="11">
        <v>80</v>
      </c>
      <c r="F84" s="12">
        <v>787.5</v>
      </c>
      <c r="G84" s="9">
        <v>787</v>
      </c>
      <c r="H84" s="9" t="s">
        <v>9</v>
      </c>
      <c r="I84" s="14" t="s">
        <v>17</v>
      </c>
      <c r="J84" s="4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5.75" thickBot="1" x14ac:dyDescent="0.3">
      <c r="A85" s="9" t="s">
        <v>9</v>
      </c>
      <c r="B85" s="14" t="s">
        <v>174</v>
      </c>
      <c r="C85" s="9" t="s">
        <v>11</v>
      </c>
      <c r="D85" s="9">
        <v>2251</v>
      </c>
      <c r="E85" s="11">
        <v>81</v>
      </c>
      <c r="F85" s="12">
        <v>1199.5</v>
      </c>
      <c r="G85" s="9">
        <v>600</v>
      </c>
      <c r="H85" s="13" t="s">
        <v>9</v>
      </c>
      <c r="I85" s="14" t="s">
        <v>17</v>
      </c>
      <c r="J85" s="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5.75" thickBot="1" x14ac:dyDescent="0.3">
      <c r="A86" s="9" t="s">
        <v>9</v>
      </c>
      <c r="B86" s="14" t="s">
        <v>175</v>
      </c>
      <c r="C86" s="9" t="s">
        <v>57</v>
      </c>
      <c r="D86" s="9"/>
      <c r="E86" s="11"/>
      <c r="F86" s="12"/>
      <c r="G86" s="9"/>
      <c r="H86" s="13" t="s">
        <v>9</v>
      </c>
      <c r="I86" s="14" t="s">
        <v>17</v>
      </c>
      <c r="J86" s="4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5.75" thickBot="1" x14ac:dyDescent="0.3">
      <c r="A87" s="9" t="s">
        <v>9</v>
      </c>
      <c r="B87" s="14" t="s">
        <v>176</v>
      </c>
      <c r="C87" s="9" t="s">
        <v>177</v>
      </c>
      <c r="D87" s="9" t="s">
        <v>178</v>
      </c>
      <c r="E87" s="11">
        <v>82</v>
      </c>
      <c r="F87" s="9">
        <v>-294.99</v>
      </c>
      <c r="G87" s="9">
        <v>188</v>
      </c>
      <c r="H87" s="9" t="s">
        <v>9</v>
      </c>
      <c r="I87" s="14" t="s">
        <v>17</v>
      </c>
      <c r="J87" s="4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5.75" thickBot="1" x14ac:dyDescent="0.3">
      <c r="A88" s="9" t="s">
        <v>9</v>
      </c>
      <c r="B88" s="9" t="s">
        <v>179</v>
      </c>
      <c r="C88" s="9" t="s">
        <v>14</v>
      </c>
      <c r="D88" s="9">
        <v>1591</v>
      </c>
      <c r="E88" s="11">
        <v>83</v>
      </c>
      <c r="F88" s="34">
        <v>975</v>
      </c>
      <c r="G88" s="13"/>
      <c r="H88" s="13" t="s">
        <v>16</v>
      </c>
      <c r="I88" s="9" t="s">
        <v>26</v>
      </c>
      <c r="J88" s="4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5.75" thickBot="1" x14ac:dyDescent="0.3">
      <c r="A89" s="9" t="s">
        <v>18</v>
      </c>
      <c r="B89" s="9" t="s">
        <v>180</v>
      </c>
      <c r="C89" s="9" t="s">
        <v>45</v>
      </c>
      <c r="D89" s="9" t="s">
        <v>181</v>
      </c>
      <c r="E89" s="11">
        <v>84</v>
      </c>
      <c r="F89" s="9">
        <v>787.5</v>
      </c>
      <c r="G89" s="9">
        <v>623</v>
      </c>
      <c r="H89" s="9" t="s">
        <v>18</v>
      </c>
      <c r="I89" s="14" t="s">
        <v>17</v>
      </c>
      <c r="J89" s="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5.75" thickBot="1" x14ac:dyDescent="0.3">
      <c r="A90" s="9" t="s">
        <v>18</v>
      </c>
      <c r="B90" s="14" t="s">
        <v>182</v>
      </c>
      <c r="C90" s="9" t="s">
        <v>183</v>
      </c>
      <c r="D90" s="9" t="s">
        <v>184</v>
      </c>
      <c r="E90" s="11">
        <v>85</v>
      </c>
      <c r="F90" s="12">
        <v>1800</v>
      </c>
      <c r="G90" s="9">
        <v>1800</v>
      </c>
      <c r="H90" s="9" t="s">
        <v>18</v>
      </c>
      <c r="I90" s="14" t="s">
        <v>17</v>
      </c>
      <c r="J90" s="4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5.75" thickBot="1" x14ac:dyDescent="0.3">
      <c r="A91" s="9" t="s">
        <v>18</v>
      </c>
      <c r="B91" s="14" t="s">
        <v>185</v>
      </c>
      <c r="C91" s="9" t="s">
        <v>22</v>
      </c>
      <c r="D91" s="9" t="s">
        <v>186</v>
      </c>
      <c r="E91" s="11">
        <v>86</v>
      </c>
      <c r="F91" s="9">
        <v>937.5</v>
      </c>
      <c r="G91" s="9">
        <v>781</v>
      </c>
      <c r="H91" s="9" t="s">
        <v>18</v>
      </c>
      <c r="I91" s="14" t="s">
        <v>17</v>
      </c>
      <c r="J91" s="4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5.75" thickBot="1" x14ac:dyDescent="0.3">
      <c r="A92" s="9" t="s">
        <v>18</v>
      </c>
      <c r="B92" s="9" t="s">
        <v>187</v>
      </c>
      <c r="C92" s="9" t="s">
        <v>188</v>
      </c>
      <c r="D92" s="9" t="s">
        <v>189</v>
      </c>
      <c r="E92" s="11">
        <v>87</v>
      </c>
      <c r="F92" s="34">
        <v>975</v>
      </c>
      <c r="G92" s="13"/>
      <c r="H92" s="13"/>
      <c r="I92" s="9" t="s">
        <v>26</v>
      </c>
      <c r="J92" s="4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5.75" thickBot="1" x14ac:dyDescent="0.3">
      <c r="A93" s="9" t="s">
        <v>18</v>
      </c>
      <c r="B93" s="9" t="s">
        <v>190</v>
      </c>
      <c r="C93" s="9" t="s">
        <v>20</v>
      </c>
      <c r="D93" s="9">
        <v>1166</v>
      </c>
      <c r="E93" s="11">
        <v>88</v>
      </c>
      <c r="F93" s="34">
        <v>600</v>
      </c>
      <c r="G93" s="9"/>
      <c r="H93" s="9" t="s">
        <v>18</v>
      </c>
      <c r="I93" s="9" t="s">
        <v>26</v>
      </c>
      <c r="J93" s="4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5.75" thickBot="1" x14ac:dyDescent="0.3">
      <c r="A94" s="9" t="s">
        <v>18</v>
      </c>
      <c r="B94" s="9" t="s">
        <v>191</v>
      </c>
      <c r="C94" s="9" t="s">
        <v>188</v>
      </c>
      <c r="D94" s="10">
        <v>112117882203</v>
      </c>
      <c r="E94" s="11">
        <v>89</v>
      </c>
      <c r="F94" s="34">
        <v>1387.5</v>
      </c>
      <c r="G94" s="9"/>
      <c r="H94" s="9" t="s">
        <v>18</v>
      </c>
      <c r="I94" s="9" t="s">
        <v>26</v>
      </c>
      <c r="J94" s="4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5.75" thickBot="1" x14ac:dyDescent="0.3">
      <c r="A95" s="9" t="s">
        <v>18</v>
      </c>
      <c r="B95" s="9" t="s">
        <v>192</v>
      </c>
      <c r="C95" s="9" t="s">
        <v>183</v>
      </c>
      <c r="D95" s="9">
        <v>1609</v>
      </c>
      <c r="E95" s="11">
        <v>90</v>
      </c>
      <c r="F95" s="34">
        <v>187.5</v>
      </c>
      <c r="G95" s="9"/>
      <c r="H95" s="9" t="s">
        <v>18</v>
      </c>
      <c r="I95" s="9" t="s">
        <v>26</v>
      </c>
      <c r="J95" s="4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5.75" thickBot="1" x14ac:dyDescent="0.3">
      <c r="A96" s="9" t="s">
        <v>9</v>
      </c>
      <c r="B96" s="14" t="s">
        <v>193</v>
      </c>
      <c r="C96" s="9" t="s">
        <v>53</v>
      </c>
      <c r="D96" s="9">
        <v>143</v>
      </c>
      <c r="E96" s="11">
        <v>91</v>
      </c>
      <c r="F96" s="12">
        <v>1125.02</v>
      </c>
      <c r="G96" s="9">
        <v>1125</v>
      </c>
      <c r="H96" s="9" t="s">
        <v>9</v>
      </c>
      <c r="I96" s="14" t="s">
        <v>17</v>
      </c>
      <c r="J96" s="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5.75" thickBot="1" x14ac:dyDescent="0.3">
      <c r="A97" s="9" t="s">
        <v>18</v>
      </c>
      <c r="B97" s="9" t="s">
        <v>194</v>
      </c>
      <c r="C97" s="9" t="s">
        <v>32</v>
      </c>
      <c r="D97" s="9">
        <v>1407</v>
      </c>
      <c r="E97" s="11">
        <v>92</v>
      </c>
      <c r="F97" s="34">
        <v>450</v>
      </c>
      <c r="G97" s="13"/>
      <c r="H97" s="13"/>
      <c r="I97" s="9" t="s">
        <v>26</v>
      </c>
      <c r="J97" s="4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5.75" thickBot="1" x14ac:dyDescent="0.3">
      <c r="A98" s="9" t="s">
        <v>9</v>
      </c>
      <c r="B98" s="14" t="s">
        <v>195</v>
      </c>
      <c r="C98" s="9" t="s">
        <v>24</v>
      </c>
      <c r="D98" s="9" t="s">
        <v>196</v>
      </c>
      <c r="E98" s="11">
        <v>93</v>
      </c>
      <c r="F98" s="9">
        <v>975</v>
      </c>
      <c r="G98" s="13">
        <v>375</v>
      </c>
      <c r="H98" s="13" t="s">
        <v>25</v>
      </c>
      <c r="I98" s="14" t="s">
        <v>17</v>
      </c>
      <c r="J98" s="4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5.75" thickBot="1" x14ac:dyDescent="0.3">
      <c r="A99" s="9" t="s">
        <v>9</v>
      </c>
      <c r="B99" s="15" t="s">
        <v>197</v>
      </c>
      <c r="C99" s="9" t="s">
        <v>14</v>
      </c>
      <c r="D99" s="9">
        <v>1038</v>
      </c>
      <c r="E99" s="11">
        <v>94</v>
      </c>
      <c r="F99" s="9">
        <v>412.5</v>
      </c>
      <c r="G99" s="13"/>
      <c r="H99" s="13" t="s">
        <v>16</v>
      </c>
      <c r="I99" s="15" t="s">
        <v>40</v>
      </c>
      <c r="J99" s="4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5.75" thickBot="1" x14ac:dyDescent="0.3">
      <c r="A100" s="9" t="s">
        <v>9</v>
      </c>
      <c r="B100" s="15" t="s">
        <v>198</v>
      </c>
      <c r="C100" s="9" t="s">
        <v>14</v>
      </c>
      <c r="D100" s="9">
        <v>1060</v>
      </c>
      <c r="E100" s="11">
        <v>95</v>
      </c>
      <c r="F100" s="9">
        <v>375</v>
      </c>
      <c r="G100" s="13"/>
      <c r="H100" s="13" t="s">
        <v>16</v>
      </c>
      <c r="I100" s="15" t="s">
        <v>40</v>
      </c>
      <c r="J100" s="4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5.75" thickBot="1" x14ac:dyDescent="0.3">
      <c r="A101" s="9" t="s">
        <v>9</v>
      </c>
      <c r="B101" s="9" t="s">
        <v>199</v>
      </c>
      <c r="C101" s="9" t="s">
        <v>24</v>
      </c>
      <c r="D101" s="9">
        <v>1219</v>
      </c>
      <c r="E101" s="11">
        <v>96</v>
      </c>
      <c r="F101" s="34">
        <v>225</v>
      </c>
      <c r="G101" s="13"/>
      <c r="H101" s="13" t="s">
        <v>25</v>
      </c>
      <c r="I101" s="9" t="s">
        <v>26</v>
      </c>
      <c r="J101" s="4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5.75" thickBot="1" x14ac:dyDescent="0.3">
      <c r="A102" s="9" t="s">
        <v>9</v>
      </c>
      <c r="B102" s="15" t="s">
        <v>200</v>
      </c>
      <c r="C102" s="9" t="s">
        <v>24</v>
      </c>
      <c r="D102" s="9">
        <v>1216</v>
      </c>
      <c r="E102" s="11">
        <v>97</v>
      </c>
      <c r="F102" s="9">
        <v>975</v>
      </c>
      <c r="G102" s="13">
        <v>0</v>
      </c>
      <c r="H102" s="13" t="s">
        <v>25</v>
      </c>
      <c r="I102" s="15" t="s">
        <v>40</v>
      </c>
      <c r="J102" s="4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5.75" thickBot="1" x14ac:dyDescent="0.3">
      <c r="A103" s="9" t="s">
        <v>18</v>
      </c>
      <c r="B103" s="9" t="s">
        <v>201</v>
      </c>
      <c r="C103" s="9" t="s">
        <v>160</v>
      </c>
      <c r="D103" s="9">
        <v>198</v>
      </c>
      <c r="E103" s="11">
        <v>98</v>
      </c>
      <c r="F103" s="34">
        <v>937.52</v>
      </c>
      <c r="G103" s="9"/>
      <c r="H103" s="9" t="s">
        <v>18</v>
      </c>
      <c r="I103" s="9" t="s">
        <v>26</v>
      </c>
      <c r="J103" s="4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5.75" thickBot="1" x14ac:dyDescent="0.3">
      <c r="A104" s="9" t="s">
        <v>18</v>
      </c>
      <c r="B104" s="9" t="s">
        <v>202</v>
      </c>
      <c r="C104" s="9" t="s">
        <v>203</v>
      </c>
      <c r="D104" s="9">
        <v>1356</v>
      </c>
      <c r="E104" s="11">
        <v>99</v>
      </c>
      <c r="F104" s="34">
        <v>93.82</v>
      </c>
      <c r="G104" s="9"/>
      <c r="H104" s="9" t="s">
        <v>18</v>
      </c>
      <c r="I104" s="9" t="s">
        <v>26</v>
      </c>
      <c r="J104" s="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5.75" thickBot="1" x14ac:dyDescent="0.3">
      <c r="A105" s="9" t="s">
        <v>18</v>
      </c>
      <c r="B105" s="9" t="s">
        <v>204</v>
      </c>
      <c r="C105" s="9" t="s">
        <v>20</v>
      </c>
      <c r="D105" s="9" t="s">
        <v>205</v>
      </c>
      <c r="E105" s="11">
        <v>100</v>
      </c>
      <c r="F105" s="34">
        <v>1350</v>
      </c>
      <c r="G105" s="9"/>
      <c r="H105" s="9" t="s">
        <v>18</v>
      </c>
      <c r="I105" s="9" t="s">
        <v>26</v>
      </c>
      <c r="J105" s="4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5.75" thickBot="1" x14ac:dyDescent="0.3">
      <c r="A106" s="9" t="s">
        <v>9</v>
      </c>
      <c r="B106" s="14" t="s">
        <v>206</v>
      </c>
      <c r="C106" s="9" t="s">
        <v>14</v>
      </c>
      <c r="D106" s="9">
        <v>432</v>
      </c>
      <c r="E106" s="11">
        <v>101</v>
      </c>
      <c r="F106" s="9">
        <v>637.75</v>
      </c>
      <c r="G106" s="13">
        <v>637</v>
      </c>
      <c r="H106" s="13" t="s">
        <v>16</v>
      </c>
      <c r="I106" s="14" t="s">
        <v>17</v>
      </c>
      <c r="J106" s="4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5.75" thickBot="1" x14ac:dyDescent="0.3">
      <c r="A107" s="9" t="s">
        <v>9</v>
      </c>
      <c r="B107" s="14" t="s">
        <v>207</v>
      </c>
      <c r="C107" s="9" t="s">
        <v>14</v>
      </c>
      <c r="D107" s="9">
        <v>1420</v>
      </c>
      <c r="E107" s="11">
        <v>102</v>
      </c>
      <c r="F107" s="9">
        <v>900</v>
      </c>
      <c r="G107" s="9">
        <v>375</v>
      </c>
      <c r="H107" s="9" t="s">
        <v>9</v>
      </c>
      <c r="I107" s="14" t="s">
        <v>17</v>
      </c>
      <c r="J107" s="4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5.75" thickBot="1" x14ac:dyDescent="0.3">
      <c r="A108" s="9" t="s">
        <v>9</v>
      </c>
      <c r="B108" s="14" t="s">
        <v>208</v>
      </c>
      <c r="C108" s="9" t="s">
        <v>149</v>
      </c>
      <c r="D108" s="9" t="s">
        <v>209</v>
      </c>
      <c r="E108" s="11">
        <v>103</v>
      </c>
      <c r="F108" s="9">
        <v>787.51</v>
      </c>
      <c r="G108" s="13">
        <v>96</v>
      </c>
      <c r="H108" s="13" t="s">
        <v>9</v>
      </c>
      <c r="I108" s="14" t="s">
        <v>17</v>
      </c>
      <c r="J108" s="4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5.75" thickBot="1" x14ac:dyDescent="0.3">
      <c r="A109" s="9" t="s">
        <v>9</v>
      </c>
      <c r="B109" s="14" t="s">
        <v>210</v>
      </c>
      <c r="C109" s="9" t="s">
        <v>211</v>
      </c>
      <c r="D109" s="9">
        <v>2426</v>
      </c>
      <c r="E109" s="11">
        <v>104</v>
      </c>
      <c r="F109" s="9">
        <v>787.5</v>
      </c>
      <c r="G109" s="13">
        <v>788</v>
      </c>
      <c r="H109" s="13" t="s">
        <v>9</v>
      </c>
      <c r="I109" s="14" t="s">
        <v>17</v>
      </c>
      <c r="J109" s="4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5.75" thickBot="1" x14ac:dyDescent="0.3">
      <c r="A110" s="9" t="s">
        <v>9</v>
      </c>
      <c r="B110" s="14" t="s">
        <v>212</v>
      </c>
      <c r="C110" s="9" t="s">
        <v>213</v>
      </c>
      <c r="D110" s="9">
        <v>2446</v>
      </c>
      <c r="E110" s="11">
        <v>105</v>
      </c>
      <c r="F110" s="12">
        <v>3212.5</v>
      </c>
      <c r="G110" s="9">
        <v>3212</v>
      </c>
      <c r="H110" s="9" t="s">
        <v>9</v>
      </c>
      <c r="I110" s="14" t="s">
        <v>17</v>
      </c>
      <c r="J110" s="4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5.75" thickBot="1" x14ac:dyDescent="0.3">
      <c r="A111" s="9" t="s">
        <v>18</v>
      </c>
      <c r="B111" s="9" t="s">
        <v>214</v>
      </c>
      <c r="C111" s="9" t="s">
        <v>215</v>
      </c>
      <c r="D111" s="9" t="s">
        <v>216</v>
      </c>
      <c r="E111" s="11">
        <v>106</v>
      </c>
      <c r="F111" s="34">
        <v>1500.03</v>
      </c>
      <c r="G111" s="9"/>
      <c r="H111" s="9" t="s">
        <v>18</v>
      </c>
      <c r="I111" s="9" t="s">
        <v>26</v>
      </c>
      <c r="J111" s="4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5.75" thickBot="1" x14ac:dyDescent="0.3">
      <c r="A112" s="9" t="s">
        <v>9</v>
      </c>
      <c r="B112" s="14" t="s">
        <v>217</v>
      </c>
      <c r="C112" s="9" t="s">
        <v>72</v>
      </c>
      <c r="D112" s="9" t="s">
        <v>218</v>
      </c>
      <c r="E112" s="11">
        <v>107</v>
      </c>
      <c r="F112" s="12">
        <v>1199.54</v>
      </c>
      <c r="G112" s="9">
        <v>1200</v>
      </c>
      <c r="H112" s="13" t="s">
        <v>9</v>
      </c>
      <c r="I112" s="14" t="s">
        <v>17</v>
      </c>
      <c r="J112" s="4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5.75" thickBot="1" x14ac:dyDescent="0.3">
      <c r="A113" s="9" t="s">
        <v>18</v>
      </c>
      <c r="B113" s="9" t="s">
        <v>219</v>
      </c>
      <c r="C113" s="9" t="s">
        <v>37</v>
      </c>
      <c r="D113" s="9">
        <v>555</v>
      </c>
      <c r="E113" s="11">
        <v>108</v>
      </c>
      <c r="F113" s="34">
        <v>1613.52</v>
      </c>
      <c r="G113" s="9"/>
      <c r="H113" s="9" t="s">
        <v>18</v>
      </c>
      <c r="I113" s="9" t="s">
        <v>26</v>
      </c>
      <c r="J113" s="4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5.75" thickBot="1" x14ac:dyDescent="0.3">
      <c r="A114" s="9" t="s">
        <v>9</v>
      </c>
      <c r="B114" s="14" t="s">
        <v>220</v>
      </c>
      <c r="C114" s="9" t="s">
        <v>221</v>
      </c>
      <c r="D114" s="9"/>
      <c r="E114" s="11"/>
      <c r="F114" s="12">
        <v>907</v>
      </c>
      <c r="G114" s="9" t="s">
        <v>222</v>
      </c>
      <c r="H114" s="9" t="s">
        <v>9</v>
      </c>
      <c r="I114" s="14" t="s">
        <v>17</v>
      </c>
      <c r="J114" s="4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5.75" thickBot="1" x14ac:dyDescent="0.3">
      <c r="A115" s="9" t="s">
        <v>9</v>
      </c>
      <c r="B115" s="14" t="s">
        <v>223</v>
      </c>
      <c r="C115" s="9" t="s">
        <v>51</v>
      </c>
      <c r="D115" s="9" t="s">
        <v>224</v>
      </c>
      <c r="E115" s="11">
        <v>109</v>
      </c>
      <c r="F115" s="12">
        <v>1612.5</v>
      </c>
      <c r="G115" s="9">
        <v>1612</v>
      </c>
      <c r="H115" s="9" t="s">
        <v>9</v>
      </c>
      <c r="I115" s="14" t="s">
        <v>17</v>
      </c>
      <c r="J115" s="4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5.75" thickBot="1" x14ac:dyDescent="0.3">
      <c r="A116" s="9" t="s">
        <v>18</v>
      </c>
      <c r="B116" s="9" t="s">
        <v>225</v>
      </c>
      <c r="C116" s="9" t="s">
        <v>20</v>
      </c>
      <c r="D116" s="9">
        <v>1311</v>
      </c>
      <c r="E116" s="11">
        <v>110</v>
      </c>
      <c r="F116" s="9">
        <v>787.5</v>
      </c>
      <c r="G116" s="9">
        <v>0</v>
      </c>
      <c r="H116" s="9" t="s">
        <v>18</v>
      </c>
      <c r="I116" s="9" t="s">
        <v>40</v>
      </c>
      <c r="J116" s="4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5.75" thickBot="1" x14ac:dyDescent="0.3">
      <c r="A117" s="9" t="s">
        <v>9</v>
      </c>
      <c r="B117" s="14" t="s">
        <v>226</v>
      </c>
      <c r="C117" s="9" t="s">
        <v>53</v>
      </c>
      <c r="D117" s="9">
        <v>2581</v>
      </c>
      <c r="E117" s="11">
        <v>111</v>
      </c>
      <c r="F117" s="12">
        <v>1236.5</v>
      </c>
      <c r="G117" s="13">
        <v>1125</v>
      </c>
      <c r="H117" s="13" t="s">
        <v>9</v>
      </c>
      <c r="I117" s="14" t="s">
        <v>17</v>
      </c>
      <c r="J117" s="4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5.75" thickBot="1" x14ac:dyDescent="0.3">
      <c r="A118" s="9" t="s">
        <v>9</v>
      </c>
      <c r="B118" s="14" t="s">
        <v>227</v>
      </c>
      <c r="C118" s="28" t="s">
        <v>51</v>
      </c>
      <c r="D118" s="9" t="s">
        <v>228</v>
      </c>
      <c r="E118" s="11">
        <v>112</v>
      </c>
      <c r="F118" s="12">
        <v>2774.53</v>
      </c>
      <c r="G118" s="9">
        <v>1680</v>
      </c>
      <c r="H118" s="9" t="s">
        <v>9</v>
      </c>
      <c r="I118" s="14" t="s">
        <v>17</v>
      </c>
      <c r="J118" s="4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5.75" thickBot="1" x14ac:dyDescent="0.3">
      <c r="A119" s="9" t="s">
        <v>18</v>
      </c>
      <c r="B119" s="14" t="s">
        <v>229</v>
      </c>
      <c r="C119" s="9" t="s">
        <v>188</v>
      </c>
      <c r="D119" s="9" t="s">
        <v>230</v>
      </c>
      <c r="E119" s="11">
        <v>113</v>
      </c>
      <c r="F119" s="12">
        <v>1012.5</v>
      </c>
      <c r="G119" s="9">
        <v>1013</v>
      </c>
      <c r="H119" s="9" t="s">
        <v>18</v>
      </c>
      <c r="I119" s="14" t="s">
        <v>17</v>
      </c>
      <c r="J119" s="4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5.75" thickBot="1" x14ac:dyDescent="0.3">
      <c r="A120" s="9" t="s">
        <v>9</v>
      </c>
      <c r="B120" s="14" t="s">
        <v>231</v>
      </c>
      <c r="C120" s="9" t="s">
        <v>232</v>
      </c>
      <c r="D120" s="9">
        <v>2089</v>
      </c>
      <c r="E120" s="11">
        <v>114</v>
      </c>
      <c r="F120" s="12">
        <v>1012.5</v>
      </c>
      <c r="G120" s="13">
        <v>1013</v>
      </c>
      <c r="H120" s="13" t="s">
        <v>9</v>
      </c>
      <c r="I120" s="14" t="s">
        <v>17</v>
      </c>
      <c r="J120" s="4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5.75" thickBot="1" x14ac:dyDescent="0.3">
      <c r="A121" s="9" t="s">
        <v>9</v>
      </c>
      <c r="B121" s="14" t="s">
        <v>233</v>
      </c>
      <c r="C121" s="9" t="s">
        <v>51</v>
      </c>
      <c r="D121" s="9">
        <v>2138</v>
      </c>
      <c r="E121" s="11">
        <v>115</v>
      </c>
      <c r="F121" s="12">
        <v>2512.5</v>
      </c>
      <c r="G121" s="13">
        <v>2512</v>
      </c>
      <c r="H121" s="13" t="s">
        <v>9</v>
      </c>
      <c r="I121" s="14" t="s">
        <v>17</v>
      </c>
      <c r="J121" s="4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5.75" thickBot="1" x14ac:dyDescent="0.3">
      <c r="A122" s="9" t="s">
        <v>9</v>
      </c>
      <c r="B122" s="14" t="s">
        <v>234</v>
      </c>
      <c r="C122" s="9" t="s">
        <v>60</v>
      </c>
      <c r="D122" s="9">
        <v>2136</v>
      </c>
      <c r="E122" s="11">
        <v>116</v>
      </c>
      <c r="F122" s="12">
        <v>1012.5</v>
      </c>
      <c r="G122" s="13">
        <v>1013</v>
      </c>
      <c r="H122" s="13" t="s">
        <v>9</v>
      </c>
      <c r="I122" s="14" t="s">
        <v>17</v>
      </c>
      <c r="J122" s="4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5.75" thickBot="1" x14ac:dyDescent="0.3">
      <c r="A123" s="9" t="s">
        <v>9</v>
      </c>
      <c r="B123" s="14" t="s">
        <v>235</v>
      </c>
      <c r="C123" s="9" t="s">
        <v>84</v>
      </c>
      <c r="D123" s="10">
        <v>602522057</v>
      </c>
      <c r="E123" s="11">
        <v>117</v>
      </c>
      <c r="F123" s="12">
        <v>1312.87</v>
      </c>
      <c r="G123" s="9">
        <v>1136</v>
      </c>
      <c r="H123" s="9" t="s">
        <v>9</v>
      </c>
      <c r="I123" s="14" t="s">
        <v>17</v>
      </c>
      <c r="J123" s="4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5.75" thickBot="1" x14ac:dyDescent="0.3">
      <c r="A124" s="9" t="s">
        <v>18</v>
      </c>
      <c r="B124" s="14" t="s">
        <v>236</v>
      </c>
      <c r="C124" s="9" t="s">
        <v>66</v>
      </c>
      <c r="D124" s="9" t="s">
        <v>237</v>
      </c>
      <c r="E124" s="11">
        <v>118</v>
      </c>
      <c r="F124" s="9">
        <v>-187.5</v>
      </c>
      <c r="G124" s="9">
        <v>1725</v>
      </c>
      <c r="H124" s="9" t="s">
        <v>18</v>
      </c>
      <c r="I124" s="14" t="s">
        <v>17</v>
      </c>
      <c r="J124" s="4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5.75" thickBot="1" x14ac:dyDescent="0.3">
      <c r="A125" s="9" t="s">
        <v>18</v>
      </c>
      <c r="B125" s="14" t="s">
        <v>238</v>
      </c>
      <c r="C125" s="9" t="s">
        <v>22</v>
      </c>
      <c r="D125" s="9" t="s">
        <v>239</v>
      </c>
      <c r="E125" s="11">
        <v>119</v>
      </c>
      <c r="F125" s="12">
        <v>1350</v>
      </c>
      <c r="G125" s="9">
        <v>1350</v>
      </c>
      <c r="H125" s="9" t="s">
        <v>18</v>
      </c>
      <c r="I125" s="14" t="s">
        <v>17</v>
      </c>
      <c r="J125" s="4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5.75" thickBot="1" x14ac:dyDescent="0.3">
      <c r="A126" s="9" t="s">
        <v>18</v>
      </c>
      <c r="B126" s="9" t="s">
        <v>240</v>
      </c>
      <c r="C126" s="9" t="s">
        <v>45</v>
      </c>
      <c r="D126" s="10">
        <v>250467</v>
      </c>
      <c r="E126" s="11">
        <v>120</v>
      </c>
      <c r="F126" s="34">
        <v>937.52</v>
      </c>
      <c r="G126" s="9"/>
      <c r="H126" s="9" t="s">
        <v>18</v>
      </c>
      <c r="I126" s="9" t="s">
        <v>26</v>
      </c>
      <c r="J126" s="4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5.75" thickBot="1" x14ac:dyDescent="0.3">
      <c r="A127" s="9" t="s">
        <v>9</v>
      </c>
      <c r="B127" s="15" t="s">
        <v>241</v>
      </c>
      <c r="C127" s="9" t="s">
        <v>14</v>
      </c>
      <c r="D127" s="9">
        <v>1059</v>
      </c>
      <c r="E127" s="11">
        <v>121</v>
      </c>
      <c r="F127" s="9">
        <v>412.5</v>
      </c>
      <c r="G127" s="13"/>
      <c r="H127" s="13" t="s">
        <v>16</v>
      </c>
      <c r="I127" s="15" t="s">
        <v>40</v>
      </c>
      <c r="J127" s="4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5.75" thickBot="1" x14ac:dyDescent="0.3">
      <c r="A128" s="9" t="s">
        <v>9</v>
      </c>
      <c r="B128" s="14" t="s">
        <v>242</v>
      </c>
      <c r="C128" s="9" t="s">
        <v>84</v>
      </c>
      <c r="D128" s="9">
        <v>2075</v>
      </c>
      <c r="E128" s="11">
        <v>122</v>
      </c>
      <c r="F128" s="9">
        <v>975</v>
      </c>
      <c r="G128" s="9">
        <v>975</v>
      </c>
      <c r="H128" s="9" t="s">
        <v>9</v>
      </c>
      <c r="I128" s="14" t="s">
        <v>17</v>
      </c>
      <c r="J128" s="4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5.75" thickBot="1" x14ac:dyDescent="0.3">
      <c r="A129" s="9" t="s">
        <v>9</v>
      </c>
      <c r="B129" s="9" t="s">
        <v>243</v>
      </c>
      <c r="C129" s="9" t="s">
        <v>24</v>
      </c>
      <c r="D129" s="9">
        <v>1220</v>
      </c>
      <c r="E129" s="11">
        <v>123</v>
      </c>
      <c r="F129" s="34">
        <v>450</v>
      </c>
      <c r="G129" s="13"/>
      <c r="H129" s="13" t="s">
        <v>25</v>
      </c>
      <c r="I129" s="9" t="s">
        <v>26</v>
      </c>
      <c r="J129" s="4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5.75" thickBot="1" x14ac:dyDescent="0.3">
      <c r="A130" s="9" t="s">
        <v>9</v>
      </c>
      <c r="B130" s="14" t="s">
        <v>244</v>
      </c>
      <c r="C130" s="9" t="s">
        <v>60</v>
      </c>
      <c r="D130" s="9" t="s">
        <v>245</v>
      </c>
      <c r="E130" s="11">
        <v>124</v>
      </c>
      <c r="F130" s="12">
        <v>1012.5</v>
      </c>
      <c r="G130" s="13">
        <v>538</v>
      </c>
      <c r="H130" s="13" t="s">
        <v>9</v>
      </c>
      <c r="I130" s="14" t="s">
        <v>17</v>
      </c>
      <c r="J130" s="4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5.75" thickBot="1" x14ac:dyDescent="0.3">
      <c r="A131" s="9" t="s">
        <v>9</v>
      </c>
      <c r="B131" s="9" t="s">
        <v>246</v>
      </c>
      <c r="C131" s="9" t="s">
        <v>60</v>
      </c>
      <c r="D131" s="9">
        <v>2137</v>
      </c>
      <c r="E131" s="11">
        <v>125</v>
      </c>
      <c r="F131" s="34">
        <v>1012.5</v>
      </c>
      <c r="G131" s="13"/>
      <c r="H131" s="13" t="s">
        <v>9</v>
      </c>
      <c r="I131" s="9" t="s">
        <v>26</v>
      </c>
      <c r="J131" s="4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5.75" thickBot="1" x14ac:dyDescent="0.3">
      <c r="A132" s="9" t="s">
        <v>9</v>
      </c>
      <c r="B132" s="14" t="s">
        <v>247</v>
      </c>
      <c r="C132" s="9" t="s">
        <v>232</v>
      </c>
      <c r="D132" s="9">
        <v>2135</v>
      </c>
      <c r="E132" s="11">
        <v>126</v>
      </c>
      <c r="F132" s="12">
        <v>1012.5</v>
      </c>
      <c r="G132" s="13">
        <v>1013</v>
      </c>
      <c r="H132" s="13" t="s">
        <v>9</v>
      </c>
      <c r="I132" s="14" t="s">
        <v>17</v>
      </c>
      <c r="J132" s="4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5.75" thickBot="1" x14ac:dyDescent="0.3">
      <c r="A133" s="9" t="s">
        <v>18</v>
      </c>
      <c r="B133" s="14" t="s">
        <v>248</v>
      </c>
      <c r="C133" s="9" t="s">
        <v>20</v>
      </c>
      <c r="D133" s="13"/>
      <c r="E133" s="11">
        <v>127</v>
      </c>
      <c r="F133" s="9">
        <v>824</v>
      </c>
      <c r="G133" s="9">
        <v>824</v>
      </c>
      <c r="H133" s="9" t="s">
        <v>18</v>
      </c>
      <c r="I133" s="14" t="s">
        <v>17</v>
      </c>
      <c r="J133" s="4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5.75" thickBot="1" x14ac:dyDescent="0.3">
      <c r="A134" s="9" t="s">
        <v>9</v>
      </c>
      <c r="B134" s="14" t="s">
        <v>249</v>
      </c>
      <c r="C134" s="28" t="s">
        <v>53</v>
      </c>
      <c r="D134" s="9" t="s">
        <v>250</v>
      </c>
      <c r="E134" s="29">
        <v>128</v>
      </c>
      <c r="F134" s="12">
        <v>1080.67</v>
      </c>
      <c r="G134" s="9">
        <v>370</v>
      </c>
      <c r="H134" s="9" t="s">
        <v>9</v>
      </c>
      <c r="I134" s="14" t="s">
        <v>17</v>
      </c>
      <c r="J134" s="4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5.75" thickBot="1" x14ac:dyDescent="0.3">
      <c r="A135" s="9" t="s">
        <v>18</v>
      </c>
      <c r="B135" s="9" t="s">
        <v>251</v>
      </c>
      <c r="C135" s="9" t="s">
        <v>32</v>
      </c>
      <c r="D135" s="9">
        <v>2528</v>
      </c>
      <c r="E135" s="11">
        <v>129</v>
      </c>
      <c r="F135" s="34">
        <v>787.5</v>
      </c>
      <c r="G135" s="13"/>
      <c r="H135" s="13"/>
      <c r="I135" s="9" t="s">
        <v>26</v>
      </c>
      <c r="J135" s="4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5.75" thickBot="1" x14ac:dyDescent="0.3">
      <c r="A136" s="9" t="s">
        <v>18</v>
      </c>
      <c r="B136" s="9" t="s">
        <v>252</v>
      </c>
      <c r="C136" s="9" t="s">
        <v>37</v>
      </c>
      <c r="D136" s="9" t="s">
        <v>253</v>
      </c>
      <c r="E136" s="11">
        <v>130</v>
      </c>
      <c r="F136" s="34">
        <v>1950</v>
      </c>
      <c r="G136" s="9"/>
      <c r="H136" s="9" t="s">
        <v>18</v>
      </c>
      <c r="I136" s="9" t="s">
        <v>26</v>
      </c>
      <c r="J136" s="4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5.75" thickBot="1" x14ac:dyDescent="0.3">
      <c r="A137" s="9" t="s">
        <v>18</v>
      </c>
      <c r="B137" s="9" t="s">
        <v>254</v>
      </c>
      <c r="C137" s="9" t="s">
        <v>20</v>
      </c>
      <c r="D137" s="9">
        <v>1396</v>
      </c>
      <c r="E137" s="11">
        <v>131</v>
      </c>
      <c r="F137" s="34">
        <v>975</v>
      </c>
      <c r="G137" s="9"/>
      <c r="H137" s="9" t="s">
        <v>18</v>
      </c>
      <c r="I137" s="9" t="s">
        <v>26</v>
      </c>
      <c r="J137" s="4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5.75" thickBot="1" x14ac:dyDescent="0.3">
      <c r="A138" s="9" t="s">
        <v>9</v>
      </c>
      <c r="B138" s="14" t="s">
        <v>255</v>
      </c>
      <c r="C138" s="9" t="s">
        <v>24</v>
      </c>
      <c r="D138" s="9">
        <v>1151</v>
      </c>
      <c r="E138" s="11">
        <v>132</v>
      </c>
      <c r="F138" s="12">
        <v>1050</v>
      </c>
      <c r="G138" s="13">
        <v>1050</v>
      </c>
      <c r="H138" s="13" t="s">
        <v>25</v>
      </c>
      <c r="I138" s="14" t="s">
        <v>17</v>
      </c>
      <c r="J138" s="4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5.75" thickBot="1" x14ac:dyDescent="0.3">
      <c r="A139" s="9" t="s">
        <v>18</v>
      </c>
      <c r="B139" s="9" t="s">
        <v>256</v>
      </c>
      <c r="C139" s="9" t="s">
        <v>32</v>
      </c>
      <c r="D139" s="10">
        <v>15121844</v>
      </c>
      <c r="E139" s="11">
        <v>133</v>
      </c>
      <c r="F139" s="34">
        <v>750</v>
      </c>
      <c r="G139" s="13"/>
      <c r="H139" s="13"/>
      <c r="I139" s="9" t="s">
        <v>26</v>
      </c>
      <c r="J139" s="4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5.75" thickBot="1" x14ac:dyDescent="0.3">
      <c r="A140" s="9" t="s">
        <v>9</v>
      </c>
      <c r="B140" s="14" t="s">
        <v>257</v>
      </c>
      <c r="C140" s="9" t="s">
        <v>157</v>
      </c>
      <c r="D140" s="13"/>
      <c r="E140" s="11">
        <v>134</v>
      </c>
      <c r="F140" s="12">
        <v>1261.31</v>
      </c>
      <c r="G140" s="9">
        <v>1262</v>
      </c>
      <c r="H140" s="9" t="s">
        <v>9</v>
      </c>
      <c r="I140" s="14" t="s">
        <v>17</v>
      </c>
      <c r="J140" s="4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5.75" thickBot="1" x14ac:dyDescent="0.3">
      <c r="A141" s="9" t="s">
        <v>18</v>
      </c>
      <c r="B141" s="15" t="s">
        <v>258</v>
      </c>
      <c r="C141" s="9" t="s">
        <v>259</v>
      </c>
      <c r="D141" s="9">
        <v>588</v>
      </c>
      <c r="E141" s="11">
        <v>135</v>
      </c>
      <c r="F141" s="9">
        <v>375.01</v>
      </c>
      <c r="G141" s="13"/>
      <c r="H141" s="13" t="s">
        <v>9</v>
      </c>
      <c r="I141" s="15" t="s">
        <v>12</v>
      </c>
      <c r="J141" s="4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5.75" thickBot="1" x14ac:dyDescent="0.3">
      <c r="A142" s="9" t="s">
        <v>18</v>
      </c>
      <c r="B142" s="9" t="s">
        <v>260</v>
      </c>
      <c r="C142" s="9" t="s">
        <v>22</v>
      </c>
      <c r="D142" s="9">
        <v>1171</v>
      </c>
      <c r="E142" s="11">
        <v>136</v>
      </c>
      <c r="F142" s="34">
        <v>600</v>
      </c>
      <c r="G142" s="9"/>
      <c r="H142" s="9" t="s">
        <v>18</v>
      </c>
      <c r="I142" s="9" t="s">
        <v>26</v>
      </c>
      <c r="J142" s="4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5.75" thickBot="1" x14ac:dyDescent="0.3">
      <c r="A143" s="9" t="s">
        <v>9</v>
      </c>
      <c r="B143" s="15" t="s">
        <v>261</v>
      </c>
      <c r="C143" s="9" t="s">
        <v>11</v>
      </c>
      <c r="D143" s="9">
        <v>190</v>
      </c>
      <c r="E143" s="11">
        <v>137</v>
      </c>
      <c r="F143" s="9">
        <v>562.51</v>
      </c>
      <c r="G143" s="9"/>
      <c r="H143" s="9" t="s">
        <v>9</v>
      </c>
      <c r="I143" s="15" t="s">
        <v>12</v>
      </c>
      <c r="J143" s="4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5.75" thickBot="1" x14ac:dyDescent="0.3">
      <c r="A144" s="9" t="s">
        <v>18</v>
      </c>
      <c r="B144" s="9" t="s">
        <v>262</v>
      </c>
      <c r="C144" s="9" t="s">
        <v>37</v>
      </c>
      <c r="D144" s="9" t="s">
        <v>263</v>
      </c>
      <c r="E144" s="11">
        <v>138</v>
      </c>
      <c r="F144" s="34">
        <v>1386.52</v>
      </c>
      <c r="G144" s="9"/>
      <c r="H144" s="9" t="s">
        <v>18</v>
      </c>
      <c r="I144" s="9" t="s">
        <v>26</v>
      </c>
      <c r="J144" s="4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5.75" thickBot="1" x14ac:dyDescent="0.3">
      <c r="A145" s="9" t="s">
        <v>9</v>
      </c>
      <c r="B145" s="9" t="s">
        <v>264</v>
      </c>
      <c r="C145" s="9" t="s">
        <v>24</v>
      </c>
      <c r="D145" s="9" t="s">
        <v>265</v>
      </c>
      <c r="E145" s="11">
        <v>139</v>
      </c>
      <c r="F145" s="34">
        <v>2175</v>
      </c>
      <c r="G145" s="13"/>
      <c r="H145" s="13" t="s">
        <v>9</v>
      </c>
      <c r="I145" s="9" t="s">
        <v>26</v>
      </c>
      <c r="J145" s="4" t="s">
        <v>266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5.75" thickBot="1" x14ac:dyDescent="0.3">
      <c r="A146" s="9" t="s">
        <v>9</v>
      </c>
      <c r="B146" s="14" t="s">
        <v>267</v>
      </c>
      <c r="C146" s="9" t="s">
        <v>268</v>
      </c>
      <c r="D146" s="9"/>
      <c r="E146" s="11"/>
      <c r="F146" s="12">
        <v>2800</v>
      </c>
      <c r="G146" s="13"/>
      <c r="H146" s="13" t="s">
        <v>9</v>
      </c>
      <c r="I146" s="14" t="s">
        <v>17</v>
      </c>
      <c r="J146" s="4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5.75" thickBot="1" x14ac:dyDescent="0.3">
      <c r="A147" s="9" t="s">
        <v>9</v>
      </c>
      <c r="B147" s="14" t="s">
        <v>269</v>
      </c>
      <c r="C147" s="9" t="s">
        <v>95</v>
      </c>
      <c r="D147" s="9" t="s">
        <v>270</v>
      </c>
      <c r="E147" s="11">
        <v>140</v>
      </c>
      <c r="F147" s="9">
        <v>271.52999999999997</v>
      </c>
      <c r="G147" s="9">
        <v>271</v>
      </c>
      <c r="H147" s="9" t="s">
        <v>9</v>
      </c>
      <c r="I147" s="14" t="s">
        <v>17</v>
      </c>
      <c r="J147" s="4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5.75" thickBot="1" x14ac:dyDescent="0.3">
      <c r="A148" s="9" t="s">
        <v>9</v>
      </c>
      <c r="B148" s="14" t="s">
        <v>271</v>
      </c>
      <c r="C148" s="9" t="s">
        <v>51</v>
      </c>
      <c r="D148" s="9">
        <v>2202</v>
      </c>
      <c r="E148" s="11">
        <v>141</v>
      </c>
      <c r="F148" s="9">
        <v>787.5</v>
      </c>
      <c r="G148" s="9">
        <v>188</v>
      </c>
      <c r="H148" s="13" t="s">
        <v>9</v>
      </c>
      <c r="I148" s="14" t="s">
        <v>17</v>
      </c>
      <c r="J148" s="4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5.75" thickBot="1" x14ac:dyDescent="0.3">
      <c r="A149" s="9" t="s">
        <v>9</v>
      </c>
      <c r="B149" s="11" t="s">
        <v>272</v>
      </c>
      <c r="C149" s="9" t="s">
        <v>157</v>
      </c>
      <c r="D149" s="9" t="s">
        <v>273</v>
      </c>
      <c r="E149" s="9">
        <v>142</v>
      </c>
      <c r="F149" s="34">
        <v>1049.1199999999999</v>
      </c>
      <c r="G149" s="13"/>
      <c r="H149" s="13" t="s">
        <v>9</v>
      </c>
      <c r="I149" s="9" t="s">
        <v>26</v>
      </c>
      <c r="J149" s="4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5.75" thickBot="1" x14ac:dyDescent="0.3">
      <c r="A150" s="9" t="s">
        <v>18</v>
      </c>
      <c r="B150" s="9" t="s">
        <v>274</v>
      </c>
      <c r="C150" s="9" t="s">
        <v>22</v>
      </c>
      <c r="D150" s="9">
        <v>2525</v>
      </c>
      <c r="E150" s="11">
        <v>143</v>
      </c>
      <c r="F150" s="34">
        <v>1012.5</v>
      </c>
      <c r="G150" s="9"/>
      <c r="H150" s="9" t="s">
        <v>18</v>
      </c>
      <c r="I150" s="9" t="s">
        <v>26</v>
      </c>
      <c r="J150" s="4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5.75" thickBot="1" x14ac:dyDescent="0.3">
      <c r="A151" s="9" t="s">
        <v>9</v>
      </c>
      <c r="B151" s="9" t="s">
        <v>275</v>
      </c>
      <c r="C151" s="9" t="s">
        <v>105</v>
      </c>
      <c r="D151" s="10">
        <v>1594275</v>
      </c>
      <c r="E151" s="9">
        <v>144</v>
      </c>
      <c r="F151" s="34">
        <v>862.04</v>
      </c>
      <c r="G151" s="9"/>
      <c r="H151" s="9" t="s">
        <v>18</v>
      </c>
      <c r="I151" s="9" t="s">
        <v>26</v>
      </c>
      <c r="J151" s="4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5.75" thickBot="1" x14ac:dyDescent="0.3">
      <c r="A152" s="9" t="s">
        <v>9</v>
      </c>
      <c r="B152" s="9" t="s">
        <v>276</v>
      </c>
      <c r="C152" s="9" t="s">
        <v>51</v>
      </c>
      <c r="D152" s="10">
        <v>2237139</v>
      </c>
      <c r="E152" s="11">
        <v>145</v>
      </c>
      <c r="F152" s="34">
        <v>1875.02</v>
      </c>
      <c r="G152" s="9"/>
      <c r="H152" s="30" t="s">
        <v>9</v>
      </c>
      <c r="I152" s="9" t="s">
        <v>26</v>
      </c>
      <c r="J152" s="4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5.75" thickBot="1" x14ac:dyDescent="0.3">
      <c r="A153" s="9" t="s">
        <v>9</v>
      </c>
      <c r="B153" s="14" t="s">
        <v>277</v>
      </c>
      <c r="C153" s="9" t="s">
        <v>37</v>
      </c>
      <c r="D153" s="10" t="s">
        <v>278</v>
      </c>
      <c r="E153" s="11"/>
      <c r="F153" s="12">
        <v>2361</v>
      </c>
      <c r="G153" s="9">
        <v>300</v>
      </c>
      <c r="H153" s="30" t="s">
        <v>9</v>
      </c>
      <c r="I153" s="14" t="s">
        <v>17</v>
      </c>
      <c r="J153" s="4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5.75" thickBot="1" x14ac:dyDescent="0.3">
      <c r="A154" s="9" t="s">
        <v>9</v>
      </c>
      <c r="B154" s="14" t="s">
        <v>279</v>
      </c>
      <c r="C154" s="9" t="s">
        <v>14</v>
      </c>
      <c r="D154" s="9">
        <v>1061</v>
      </c>
      <c r="E154" s="11">
        <v>146</v>
      </c>
      <c r="F154" s="9">
        <v>225</v>
      </c>
      <c r="G154" s="13">
        <v>200</v>
      </c>
      <c r="H154" s="13" t="s">
        <v>16</v>
      </c>
      <c r="I154" s="14" t="s">
        <v>17</v>
      </c>
      <c r="J154" s="4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5.75" thickBot="1" x14ac:dyDescent="0.3">
      <c r="A155" s="9" t="s">
        <v>18</v>
      </c>
      <c r="B155" s="9" t="s">
        <v>280</v>
      </c>
      <c r="C155" s="9" t="s">
        <v>22</v>
      </c>
      <c r="D155" s="10">
        <v>10901902</v>
      </c>
      <c r="E155" s="11">
        <v>147</v>
      </c>
      <c r="F155" s="34">
        <v>187.5</v>
      </c>
      <c r="G155" s="9"/>
      <c r="H155" s="9" t="s">
        <v>18</v>
      </c>
      <c r="I155" s="9" t="s">
        <v>26</v>
      </c>
      <c r="J155" s="4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5.75" thickBot="1" x14ac:dyDescent="0.3">
      <c r="A156" s="9" t="s">
        <v>9</v>
      </c>
      <c r="B156" s="15" t="s">
        <v>281</v>
      </c>
      <c r="C156" s="9" t="s">
        <v>24</v>
      </c>
      <c r="D156" s="9">
        <v>316</v>
      </c>
      <c r="E156" s="11">
        <v>148</v>
      </c>
      <c r="F156" s="12">
        <v>1500.03</v>
      </c>
      <c r="G156" s="13"/>
      <c r="H156" s="13" t="s">
        <v>25</v>
      </c>
      <c r="I156" s="15" t="s">
        <v>12</v>
      </c>
      <c r="J156" s="4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5.75" thickBot="1" x14ac:dyDescent="0.3">
      <c r="A157" s="9" t="s">
        <v>9</v>
      </c>
      <c r="B157" s="9" t="s">
        <v>282</v>
      </c>
      <c r="C157" s="9" t="s">
        <v>24</v>
      </c>
      <c r="D157" s="9">
        <v>2438</v>
      </c>
      <c r="E157" s="11">
        <v>149</v>
      </c>
      <c r="F157" s="34">
        <v>337.27</v>
      </c>
      <c r="G157" s="13"/>
      <c r="H157" s="13" t="s">
        <v>25</v>
      </c>
      <c r="I157" s="9" t="s">
        <v>26</v>
      </c>
      <c r="J157" s="4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5.75" thickBot="1" x14ac:dyDescent="0.3">
      <c r="A158" s="9" t="s">
        <v>9</v>
      </c>
      <c r="B158" s="9" t="s">
        <v>283</v>
      </c>
      <c r="C158" s="9" t="s">
        <v>14</v>
      </c>
      <c r="D158" s="9">
        <v>1048</v>
      </c>
      <c r="E158" s="11">
        <v>150</v>
      </c>
      <c r="F158" s="34">
        <v>1420.91</v>
      </c>
      <c r="G158" s="13"/>
      <c r="H158" s="13" t="s">
        <v>16</v>
      </c>
      <c r="I158" s="9" t="s">
        <v>26</v>
      </c>
      <c r="J158" s="4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5.75" thickBot="1" x14ac:dyDescent="0.3">
      <c r="A159" s="9" t="s">
        <v>18</v>
      </c>
      <c r="B159" s="9" t="s">
        <v>284</v>
      </c>
      <c r="C159" s="9" t="s">
        <v>20</v>
      </c>
      <c r="D159" s="9">
        <v>1892</v>
      </c>
      <c r="E159" s="11">
        <v>151</v>
      </c>
      <c r="F159" s="9">
        <v>-0.22</v>
      </c>
      <c r="G159" s="9">
        <v>544</v>
      </c>
      <c r="H159" s="9" t="s">
        <v>18</v>
      </c>
      <c r="I159" s="9" t="s">
        <v>17</v>
      </c>
      <c r="J159" s="4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5.75" thickBot="1" x14ac:dyDescent="0.3">
      <c r="A160" s="9" t="s">
        <v>9</v>
      </c>
      <c r="B160" s="14" t="s">
        <v>285</v>
      </c>
      <c r="C160" s="9" t="s">
        <v>24</v>
      </c>
      <c r="D160" s="9">
        <v>1175</v>
      </c>
      <c r="E160" s="11">
        <v>152</v>
      </c>
      <c r="F160" s="9">
        <v>187.5</v>
      </c>
      <c r="G160" s="9">
        <v>188</v>
      </c>
      <c r="H160" s="13" t="s">
        <v>18</v>
      </c>
      <c r="I160" s="14" t="s">
        <v>17</v>
      </c>
      <c r="J160" s="4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5.75" thickBot="1" x14ac:dyDescent="0.3">
      <c r="A161" s="9" t="s">
        <v>18</v>
      </c>
      <c r="B161" s="15" t="s">
        <v>286</v>
      </c>
      <c r="C161" s="9" t="s">
        <v>32</v>
      </c>
      <c r="D161" s="9">
        <v>754</v>
      </c>
      <c r="E161" s="11">
        <v>153</v>
      </c>
      <c r="F161" s="9">
        <v>787.51</v>
      </c>
      <c r="G161" s="13"/>
      <c r="H161" s="13"/>
      <c r="I161" s="15" t="s">
        <v>287</v>
      </c>
      <c r="J161" s="4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5.75" thickBot="1" x14ac:dyDescent="0.3">
      <c r="A162" s="9" t="s">
        <v>9</v>
      </c>
      <c r="B162" s="9" t="s">
        <v>288</v>
      </c>
      <c r="C162" s="9" t="s">
        <v>14</v>
      </c>
      <c r="D162" s="9">
        <v>1530</v>
      </c>
      <c r="E162" s="11">
        <v>154</v>
      </c>
      <c r="F162" s="34">
        <v>750</v>
      </c>
      <c r="G162" s="13"/>
      <c r="H162" s="13" t="s">
        <v>16</v>
      </c>
      <c r="I162" s="9" t="s">
        <v>26</v>
      </c>
      <c r="J162" s="4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5.75" thickBot="1" x14ac:dyDescent="0.3">
      <c r="A163" s="9" t="s">
        <v>9</v>
      </c>
      <c r="B163" s="9" t="s">
        <v>289</v>
      </c>
      <c r="C163" s="9" t="s">
        <v>14</v>
      </c>
      <c r="D163" s="9">
        <v>1041</v>
      </c>
      <c r="E163" s="11">
        <v>155</v>
      </c>
      <c r="F163" s="34">
        <v>975</v>
      </c>
      <c r="G163" s="13"/>
      <c r="H163" s="13" t="s">
        <v>16</v>
      </c>
      <c r="I163" s="9" t="s">
        <v>26</v>
      </c>
      <c r="J163" s="4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5.75" thickBot="1" x14ac:dyDescent="0.3">
      <c r="A164" s="9" t="s">
        <v>9</v>
      </c>
      <c r="B164" s="9" t="s">
        <v>290</v>
      </c>
      <c r="C164" s="9" t="s">
        <v>84</v>
      </c>
      <c r="D164" s="9">
        <v>624</v>
      </c>
      <c r="E164" s="11">
        <v>156</v>
      </c>
      <c r="F164" s="34">
        <v>375.49</v>
      </c>
      <c r="G164" s="13"/>
      <c r="H164" s="13" t="s">
        <v>9</v>
      </c>
      <c r="I164" s="9" t="s">
        <v>26</v>
      </c>
      <c r="J164" s="4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5.75" thickBot="1" x14ac:dyDescent="0.3">
      <c r="A165" s="9" t="s">
        <v>9</v>
      </c>
      <c r="B165" s="14" t="s">
        <v>291</v>
      </c>
      <c r="C165" s="9" t="s">
        <v>24</v>
      </c>
      <c r="D165" s="9" t="s">
        <v>292</v>
      </c>
      <c r="E165" s="11">
        <v>157</v>
      </c>
      <c r="F165" s="12">
        <v>1500.02</v>
      </c>
      <c r="G165" s="13">
        <v>370</v>
      </c>
      <c r="H165" s="13" t="s">
        <v>9</v>
      </c>
      <c r="I165" s="14" t="s">
        <v>17</v>
      </c>
      <c r="J165" s="4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5.75" thickBot="1" x14ac:dyDescent="0.3">
      <c r="A166" s="9" t="s">
        <v>18</v>
      </c>
      <c r="B166" s="9" t="s">
        <v>293</v>
      </c>
      <c r="C166" s="9" t="s">
        <v>37</v>
      </c>
      <c r="D166" s="9" t="s">
        <v>294</v>
      </c>
      <c r="E166" s="11">
        <v>158</v>
      </c>
      <c r="F166" s="34">
        <v>1425</v>
      </c>
      <c r="G166" s="9"/>
      <c r="H166" s="9" t="s">
        <v>18</v>
      </c>
      <c r="I166" s="9" t="s">
        <v>26</v>
      </c>
      <c r="J166" s="4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5.75" thickBot="1" x14ac:dyDescent="0.3">
      <c r="A167" s="9" t="s">
        <v>9</v>
      </c>
      <c r="B167" s="14" t="s">
        <v>295</v>
      </c>
      <c r="C167" s="9" t="s">
        <v>79</v>
      </c>
      <c r="D167" s="9" t="s">
        <v>296</v>
      </c>
      <c r="E167" s="11">
        <v>159</v>
      </c>
      <c r="F167" s="9">
        <v>600</v>
      </c>
      <c r="G167" s="13"/>
      <c r="H167" s="13" t="s">
        <v>9</v>
      </c>
      <c r="I167" s="15" t="s">
        <v>40</v>
      </c>
      <c r="J167" s="4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5.75" thickBot="1" x14ac:dyDescent="0.3">
      <c r="A168" s="9" t="s">
        <v>9</v>
      </c>
      <c r="B168" s="9" t="s">
        <v>297</v>
      </c>
      <c r="C168" s="9" t="s">
        <v>14</v>
      </c>
      <c r="D168" s="9">
        <v>1051</v>
      </c>
      <c r="E168" s="11">
        <v>160</v>
      </c>
      <c r="F168" s="34">
        <v>975</v>
      </c>
      <c r="G168" s="13"/>
      <c r="H168" s="13" t="s">
        <v>16</v>
      </c>
      <c r="I168" s="9" t="s">
        <v>26</v>
      </c>
      <c r="J168" s="4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5.75" thickBot="1" x14ac:dyDescent="0.3">
      <c r="A169" s="9" t="s">
        <v>18</v>
      </c>
      <c r="B169" s="9" t="s">
        <v>298</v>
      </c>
      <c r="C169" s="9" t="s">
        <v>183</v>
      </c>
      <c r="D169" s="10">
        <v>9.1710491303149998E+18</v>
      </c>
      <c r="E169" s="11">
        <v>161</v>
      </c>
      <c r="F169" s="34">
        <v>4387.5</v>
      </c>
      <c r="G169" s="9"/>
      <c r="H169" s="9" t="s">
        <v>18</v>
      </c>
      <c r="I169" s="9" t="s">
        <v>26</v>
      </c>
      <c r="J169" s="4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5.75" thickBot="1" x14ac:dyDescent="0.3">
      <c r="A170" s="9" t="s">
        <v>9</v>
      </c>
      <c r="B170" s="14" t="s">
        <v>299</v>
      </c>
      <c r="C170" s="9" t="s">
        <v>60</v>
      </c>
      <c r="D170" s="9" t="s">
        <v>300</v>
      </c>
      <c r="E170" s="11">
        <v>162</v>
      </c>
      <c r="F170" s="9">
        <v>562.5</v>
      </c>
      <c r="G170" s="13">
        <v>406</v>
      </c>
      <c r="H170" s="13" t="s">
        <v>9</v>
      </c>
      <c r="I170" s="14" t="s">
        <v>17</v>
      </c>
      <c r="J170" s="4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5.75" thickBot="1" x14ac:dyDescent="0.3">
      <c r="A171" s="9" t="s">
        <v>9</v>
      </c>
      <c r="B171" s="14" t="s">
        <v>301</v>
      </c>
      <c r="C171" s="9" t="s">
        <v>211</v>
      </c>
      <c r="D171" s="9">
        <v>1149</v>
      </c>
      <c r="E171" s="11">
        <v>163</v>
      </c>
      <c r="F171" s="9">
        <v>787.5</v>
      </c>
      <c r="G171" s="13">
        <v>780</v>
      </c>
      <c r="H171" s="13" t="s">
        <v>9</v>
      </c>
      <c r="I171" s="14" t="s">
        <v>17</v>
      </c>
      <c r="J171" s="4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5.75" thickBot="1" x14ac:dyDescent="0.3">
      <c r="A172" s="9" t="s">
        <v>9</v>
      </c>
      <c r="B172" s="9" t="s">
        <v>302</v>
      </c>
      <c r="C172" s="9" t="s">
        <v>24</v>
      </c>
      <c r="D172" s="9">
        <v>1282</v>
      </c>
      <c r="E172" s="11">
        <v>164</v>
      </c>
      <c r="F172" s="34">
        <v>975</v>
      </c>
      <c r="G172" s="13"/>
      <c r="H172" s="13" t="s">
        <v>25</v>
      </c>
      <c r="I172" s="9" t="s">
        <v>26</v>
      </c>
      <c r="J172" s="4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5.75" thickBot="1" x14ac:dyDescent="0.3">
      <c r="A173" s="9" t="s">
        <v>18</v>
      </c>
      <c r="B173" s="9" t="s">
        <v>303</v>
      </c>
      <c r="C173" s="9" t="s">
        <v>37</v>
      </c>
      <c r="D173" s="9">
        <v>2010</v>
      </c>
      <c r="E173" s="11">
        <v>165</v>
      </c>
      <c r="F173" s="34">
        <v>375</v>
      </c>
      <c r="G173" s="9"/>
      <c r="H173" s="9" t="s">
        <v>18</v>
      </c>
      <c r="I173" s="9" t="s">
        <v>26</v>
      </c>
      <c r="J173" s="4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5.75" thickBot="1" x14ac:dyDescent="0.3">
      <c r="A174" s="9" t="s">
        <v>9</v>
      </c>
      <c r="B174" s="9" t="s">
        <v>304</v>
      </c>
      <c r="C174" s="9" t="s">
        <v>72</v>
      </c>
      <c r="D174" s="9">
        <v>1043</v>
      </c>
      <c r="E174" s="11">
        <v>166</v>
      </c>
      <c r="F174" s="34">
        <v>374.5</v>
      </c>
      <c r="G174" s="13"/>
      <c r="H174" s="13" t="s">
        <v>16</v>
      </c>
      <c r="I174" s="9" t="s">
        <v>26</v>
      </c>
      <c r="J174" s="4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5.75" thickBot="1" x14ac:dyDescent="0.3">
      <c r="A175" s="9" t="s">
        <v>18</v>
      </c>
      <c r="B175" s="14" t="s">
        <v>305</v>
      </c>
      <c r="C175" s="9" t="s">
        <v>160</v>
      </c>
      <c r="D175" s="10">
        <v>22862538</v>
      </c>
      <c r="E175" s="11">
        <v>167</v>
      </c>
      <c r="F175" s="9">
        <v>862.5</v>
      </c>
      <c r="G175" s="9">
        <v>862</v>
      </c>
      <c r="H175" s="9" t="s">
        <v>18</v>
      </c>
      <c r="I175" s="14" t="s">
        <v>17</v>
      </c>
      <c r="J175" s="4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5.75" thickBot="1" x14ac:dyDescent="0.3">
      <c r="A176" s="9" t="s">
        <v>9</v>
      </c>
      <c r="B176" s="9" t="s">
        <v>306</v>
      </c>
      <c r="C176" s="9" t="s">
        <v>14</v>
      </c>
      <c r="D176" s="9" t="s">
        <v>307</v>
      </c>
      <c r="E176" s="11">
        <v>168</v>
      </c>
      <c r="F176" s="34">
        <v>1124.1500000000001</v>
      </c>
      <c r="G176" s="13"/>
      <c r="H176" s="13" t="s">
        <v>16</v>
      </c>
      <c r="I176" s="9" t="s">
        <v>26</v>
      </c>
      <c r="J176" s="4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5.75" thickBot="1" x14ac:dyDescent="0.3">
      <c r="A177" s="9" t="s">
        <v>18</v>
      </c>
      <c r="B177" s="9" t="s">
        <v>308</v>
      </c>
      <c r="C177" s="9" t="s">
        <v>203</v>
      </c>
      <c r="D177" s="9" t="s">
        <v>309</v>
      </c>
      <c r="E177" s="11">
        <v>169</v>
      </c>
      <c r="F177" s="34">
        <v>1762.5</v>
      </c>
      <c r="G177" s="9"/>
      <c r="H177" s="9" t="s">
        <v>18</v>
      </c>
      <c r="I177" s="9" t="s">
        <v>26</v>
      </c>
      <c r="J177" s="4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5.75" thickBot="1" x14ac:dyDescent="0.3">
      <c r="A178" s="9" t="s">
        <v>9</v>
      </c>
      <c r="B178" s="29" t="s">
        <v>310</v>
      </c>
      <c r="C178" s="9" t="s">
        <v>311</v>
      </c>
      <c r="D178" s="10">
        <v>7972187</v>
      </c>
      <c r="E178" s="9">
        <v>170</v>
      </c>
      <c r="F178" s="34">
        <v>1762.6</v>
      </c>
      <c r="G178" s="13"/>
      <c r="H178" s="13" t="s">
        <v>9</v>
      </c>
      <c r="I178" s="9" t="s">
        <v>26</v>
      </c>
      <c r="J178" s="4" t="s">
        <v>312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5.75" thickBot="1" x14ac:dyDescent="0.3">
      <c r="A179" s="9" t="s">
        <v>18</v>
      </c>
      <c r="B179" s="14" t="s">
        <v>313</v>
      </c>
      <c r="C179" s="9" t="s">
        <v>45</v>
      </c>
      <c r="D179" s="9" t="s">
        <v>314</v>
      </c>
      <c r="E179" s="11">
        <v>171</v>
      </c>
      <c r="F179" s="9">
        <v>412.5</v>
      </c>
      <c r="G179" s="9">
        <v>34</v>
      </c>
      <c r="H179" s="9" t="s">
        <v>18</v>
      </c>
      <c r="I179" s="14" t="s">
        <v>17</v>
      </c>
      <c r="J179" s="4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5.75" thickBot="1" x14ac:dyDescent="0.3">
      <c r="A180" s="9" t="s">
        <v>9</v>
      </c>
      <c r="B180" s="9" t="s">
        <v>315</v>
      </c>
      <c r="C180" s="9" t="s">
        <v>24</v>
      </c>
      <c r="D180" s="9">
        <v>1153</v>
      </c>
      <c r="E180" s="11">
        <v>172</v>
      </c>
      <c r="F180" s="34">
        <v>187.5</v>
      </c>
      <c r="G180" s="13"/>
      <c r="H180" s="13" t="s">
        <v>25</v>
      </c>
      <c r="I180" s="9" t="s">
        <v>26</v>
      </c>
      <c r="J180" s="4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5.75" thickBot="1" x14ac:dyDescent="0.3">
      <c r="A181" s="9" t="s">
        <v>9</v>
      </c>
      <c r="B181" s="11" t="s">
        <v>316</v>
      </c>
      <c r="C181" s="9" t="s">
        <v>69</v>
      </c>
      <c r="D181" s="9">
        <v>225</v>
      </c>
      <c r="E181" s="9">
        <v>173</v>
      </c>
      <c r="F181" s="34">
        <v>562.51</v>
      </c>
      <c r="G181" s="13"/>
      <c r="H181" s="13" t="s">
        <v>9</v>
      </c>
      <c r="I181" s="9" t="s">
        <v>26</v>
      </c>
      <c r="J181" s="4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5.75" thickBot="1" x14ac:dyDescent="0.3">
      <c r="A182" s="9" t="s">
        <v>9</v>
      </c>
      <c r="B182" s="9" t="s">
        <v>317</v>
      </c>
      <c r="C182" s="9" t="s">
        <v>14</v>
      </c>
      <c r="D182" s="9">
        <v>1430</v>
      </c>
      <c r="E182" s="11">
        <v>174</v>
      </c>
      <c r="F182" s="34">
        <v>450</v>
      </c>
      <c r="G182" s="13"/>
      <c r="H182" s="13" t="s">
        <v>16</v>
      </c>
      <c r="I182" s="9" t="s">
        <v>26</v>
      </c>
      <c r="J182" s="4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5.75" thickBot="1" x14ac:dyDescent="0.3">
      <c r="A183" s="9" t="s">
        <v>18</v>
      </c>
      <c r="B183" s="9" t="s">
        <v>318</v>
      </c>
      <c r="C183" s="9" t="s">
        <v>22</v>
      </c>
      <c r="D183" s="10">
        <v>2.40285488675214E+20</v>
      </c>
      <c r="E183" s="11">
        <v>175</v>
      </c>
      <c r="F183" s="34">
        <v>2107.02</v>
      </c>
      <c r="G183" s="9"/>
      <c r="H183" s="9" t="s">
        <v>18</v>
      </c>
      <c r="I183" s="9" t="s">
        <v>26</v>
      </c>
      <c r="J183" s="4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5.75" thickBot="1" x14ac:dyDescent="0.3">
      <c r="A184" s="9" t="s">
        <v>9</v>
      </c>
      <c r="B184" s="14" t="s">
        <v>319</v>
      </c>
      <c r="C184" s="9" t="s">
        <v>11</v>
      </c>
      <c r="D184" s="10">
        <v>254625672585</v>
      </c>
      <c r="E184" s="11">
        <v>176</v>
      </c>
      <c r="F184" s="12">
        <v>6938</v>
      </c>
      <c r="G184" s="9">
        <v>6938</v>
      </c>
      <c r="H184" s="13" t="s">
        <v>9</v>
      </c>
      <c r="I184" s="14" t="s">
        <v>17</v>
      </c>
      <c r="J184" s="4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5.75" thickBot="1" x14ac:dyDescent="0.3">
      <c r="A185" s="9" t="s">
        <v>9</v>
      </c>
      <c r="B185" s="14" t="s">
        <v>320</v>
      </c>
      <c r="C185" s="9" t="s">
        <v>321</v>
      </c>
      <c r="D185" s="9">
        <v>2535</v>
      </c>
      <c r="E185" s="11">
        <v>177</v>
      </c>
      <c r="F185" s="12">
        <v>10530</v>
      </c>
      <c r="G185" s="13">
        <v>10530</v>
      </c>
      <c r="H185" s="13" t="s">
        <v>9</v>
      </c>
      <c r="I185" s="14" t="s">
        <v>17</v>
      </c>
      <c r="J185" s="4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5.75" thickBot="1" x14ac:dyDescent="0.3">
      <c r="A186" s="9" t="s">
        <v>18</v>
      </c>
      <c r="B186" s="14" t="s">
        <v>322</v>
      </c>
      <c r="C186" s="9" t="s">
        <v>183</v>
      </c>
      <c r="D186" s="10">
        <v>24361301</v>
      </c>
      <c r="E186" s="11">
        <v>178</v>
      </c>
      <c r="F186" s="9">
        <v>750</v>
      </c>
      <c r="G186" s="9">
        <v>375</v>
      </c>
      <c r="H186" s="9" t="s">
        <v>18</v>
      </c>
      <c r="I186" s="14" t="s">
        <v>17</v>
      </c>
      <c r="J186" s="4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5.75" thickBot="1" x14ac:dyDescent="0.3">
      <c r="A187" s="9" t="s">
        <v>9</v>
      </c>
      <c r="B187" s="15" t="s">
        <v>323</v>
      </c>
      <c r="C187" s="9" t="s">
        <v>130</v>
      </c>
      <c r="D187" s="9">
        <v>1467</v>
      </c>
      <c r="E187" s="11">
        <v>179</v>
      </c>
      <c r="F187" s="12">
        <v>3750</v>
      </c>
      <c r="G187" s="13"/>
      <c r="H187" s="13" t="s">
        <v>16</v>
      </c>
      <c r="I187" s="15" t="s">
        <v>12</v>
      </c>
      <c r="J187" s="4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5.75" thickBot="1" x14ac:dyDescent="0.3">
      <c r="A188" s="9" t="s">
        <v>9</v>
      </c>
      <c r="B188" s="14" t="s">
        <v>324</v>
      </c>
      <c r="C188" s="9" t="s">
        <v>51</v>
      </c>
      <c r="D188" s="13"/>
      <c r="E188" s="11">
        <v>180</v>
      </c>
      <c r="F188" s="12">
        <v>5284</v>
      </c>
      <c r="G188" s="9">
        <v>2439</v>
      </c>
      <c r="H188" s="9" t="s">
        <v>9</v>
      </c>
      <c r="I188" s="14" t="s">
        <v>17</v>
      </c>
      <c r="J188" s="4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5.75" thickBot="1" x14ac:dyDescent="0.3">
      <c r="A189" s="9" t="s">
        <v>9</v>
      </c>
      <c r="B189" s="14" t="s">
        <v>325</v>
      </c>
      <c r="C189" s="9" t="s">
        <v>14</v>
      </c>
      <c r="D189" s="9" t="s">
        <v>326</v>
      </c>
      <c r="E189" s="11">
        <v>181</v>
      </c>
      <c r="F189" s="12">
        <v>22912.53</v>
      </c>
      <c r="G189" s="13"/>
      <c r="H189" s="9" t="s">
        <v>9</v>
      </c>
      <c r="I189" s="14" t="s">
        <v>17</v>
      </c>
      <c r="J189" s="4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5.75" thickBot="1" x14ac:dyDescent="0.3">
      <c r="A190" s="9" t="s">
        <v>18</v>
      </c>
      <c r="B190" s="9" t="s">
        <v>327</v>
      </c>
      <c r="C190" s="9" t="s">
        <v>328</v>
      </c>
      <c r="D190" s="9">
        <v>1355</v>
      </c>
      <c r="E190" s="11">
        <v>182</v>
      </c>
      <c r="F190" s="34">
        <v>562.5</v>
      </c>
      <c r="G190" s="9"/>
      <c r="H190" s="9" t="s">
        <v>18</v>
      </c>
      <c r="I190" s="9" t="s">
        <v>26</v>
      </c>
      <c r="J190" s="4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5.75" thickBot="1" x14ac:dyDescent="0.3">
      <c r="A191" s="9" t="s">
        <v>9</v>
      </c>
      <c r="B191" s="9" t="s">
        <v>329</v>
      </c>
      <c r="C191" s="9" t="s">
        <v>24</v>
      </c>
      <c r="D191" s="9">
        <v>1317</v>
      </c>
      <c r="E191" s="11">
        <v>183</v>
      </c>
      <c r="F191" s="34">
        <v>450</v>
      </c>
      <c r="G191" s="13"/>
      <c r="H191" s="13" t="s">
        <v>25</v>
      </c>
      <c r="I191" s="9" t="s">
        <v>26</v>
      </c>
      <c r="J191" s="4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5.75" thickBot="1" x14ac:dyDescent="0.3">
      <c r="A192" s="9" t="s">
        <v>9</v>
      </c>
      <c r="B192" s="15" t="s">
        <v>330</v>
      </c>
      <c r="C192" s="9" t="s">
        <v>232</v>
      </c>
      <c r="D192" s="9">
        <v>681</v>
      </c>
      <c r="E192" s="11">
        <v>184</v>
      </c>
      <c r="F192" s="12">
        <v>1275.01</v>
      </c>
      <c r="G192" s="13"/>
      <c r="H192" s="13" t="s">
        <v>9</v>
      </c>
      <c r="I192" s="15" t="s">
        <v>12</v>
      </c>
      <c r="J192" s="4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5.75" thickBot="1" x14ac:dyDescent="0.3">
      <c r="A193" s="9" t="s">
        <v>18</v>
      </c>
      <c r="B193" s="14" t="s">
        <v>331</v>
      </c>
      <c r="C193" s="9" t="s">
        <v>66</v>
      </c>
      <c r="D193" s="10">
        <v>205523082388</v>
      </c>
      <c r="E193" s="11">
        <v>185</v>
      </c>
      <c r="F193" s="12">
        <v>1762.5</v>
      </c>
      <c r="G193" s="9">
        <v>1763</v>
      </c>
      <c r="H193" s="9" t="s">
        <v>18</v>
      </c>
      <c r="I193" s="14" t="s">
        <v>17</v>
      </c>
      <c r="J193" s="4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5.75" thickBot="1" x14ac:dyDescent="0.3">
      <c r="A194" s="9" t="s">
        <v>18</v>
      </c>
      <c r="B194" s="9" t="s">
        <v>332</v>
      </c>
      <c r="C194" s="9" t="s">
        <v>188</v>
      </c>
      <c r="D194" s="9">
        <v>1513</v>
      </c>
      <c r="E194" s="11">
        <v>186</v>
      </c>
      <c r="F194" s="34">
        <v>375</v>
      </c>
      <c r="G194" s="13"/>
      <c r="H194" s="13"/>
      <c r="I194" s="9" t="s">
        <v>26</v>
      </c>
      <c r="J194" s="4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5.75" thickBot="1" x14ac:dyDescent="0.3">
      <c r="A195" s="9" t="s">
        <v>9</v>
      </c>
      <c r="B195" s="14" t="s">
        <v>333</v>
      </c>
      <c r="C195" s="9" t="s">
        <v>259</v>
      </c>
      <c r="D195" s="10" t="s">
        <v>334</v>
      </c>
      <c r="E195" s="11">
        <v>187</v>
      </c>
      <c r="F195" s="12">
        <v>3037.54</v>
      </c>
      <c r="G195" s="13">
        <v>410</v>
      </c>
      <c r="H195" s="13"/>
      <c r="I195" s="9" t="s">
        <v>17</v>
      </c>
      <c r="J195" s="4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5.75" thickBot="1" x14ac:dyDescent="0.3">
      <c r="A196" s="9" t="s">
        <v>18</v>
      </c>
      <c r="B196" s="9" t="s">
        <v>335</v>
      </c>
      <c r="C196" s="9" t="s">
        <v>328</v>
      </c>
      <c r="D196" s="9">
        <v>1176</v>
      </c>
      <c r="E196" s="11">
        <v>188</v>
      </c>
      <c r="F196" s="34">
        <v>187.5</v>
      </c>
      <c r="G196" s="9"/>
      <c r="H196" s="9" t="s">
        <v>18</v>
      </c>
      <c r="I196" s="9" t="s">
        <v>26</v>
      </c>
      <c r="J196" s="4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5.75" thickBot="1" x14ac:dyDescent="0.3">
      <c r="A197" s="9" t="s">
        <v>18</v>
      </c>
      <c r="B197" s="14" t="s">
        <v>336</v>
      </c>
      <c r="C197" s="9" t="s">
        <v>66</v>
      </c>
      <c r="D197" s="9" t="s">
        <v>337</v>
      </c>
      <c r="E197" s="11">
        <v>189</v>
      </c>
      <c r="F197" s="12">
        <v>1612.53</v>
      </c>
      <c r="G197" s="9">
        <v>918</v>
      </c>
      <c r="H197" s="9" t="s">
        <v>18</v>
      </c>
      <c r="I197" s="14" t="s">
        <v>17</v>
      </c>
      <c r="J197" s="31">
        <f>+F197-G197</f>
        <v>694.53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5.75" thickBot="1" x14ac:dyDescent="0.3">
      <c r="A198" s="9" t="s">
        <v>9</v>
      </c>
      <c r="B198" s="9" t="s">
        <v>338</v>
      </c>
      <c r="C198" s="9" t="s">
        <v>14</v>
      </c>
      <c r="D198" s="9">
        <v>1537</v>
      </c>
      <c r="E198" s="11">
        <v>190</v>
      </c>
      <c r="F198" s="34">
        <v>450</v>
      </c>
      <c r="G198" s="13"/>
      <c r="H198" s="13" t="s">
        <v>16</v>
      </c>
      <c r="I198" s="9" t="s">
        <v>26</v>
      </c>
      <c r="J198" s="4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5.75" thickBot="1" x14ac:dyDescent="0.3">
      <c r="A199" s="9" t="s">
        <v>9</v>
      </c>
      <c r="B199" s="15" t="s">
        <v>339</v>
      </c>
      <c r="C199" s="9" t="s">
        <v>157</v>
      </c>
      <c r="D199" s="9">
        <v>94</v>
      </c>
      <c r="E199" s="11">
        <v>191</v>
      </c>
      <c r="F199" s="9">
        <v>562.51</v>
      </c>
      <c r="G199" s="13"/>
      <c r="H199" s="9" t="s">
        <v>9</v>
      </c>
      <c r="I199" s="15" t="s">
        <v>12</v>
      </c>
      <c r="J199" s="4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5.75" thickBot="1" x14ac:dyDescent="0.3">
      <c r="A200" s="9" t="s">
        <v>18</v>
      </c>
      <c r="B200" s="9" t="s">
        <v>340</v>
      </c>
      <c r="C200" s="9" t="s">
        <v>66</v>
      </c>
      <c r="D200" s="9" t="s">
        <v>341</v>
      </c>
      <c r="E200" s="11">
        <v>192</v>
      </c>
      <c r="F200" s="9">
        <v>187.5</v>
      </c>
      <c r="G200" s="9"/>
      <c r="H200" s="9" t="s">
        <v>18</v>
      </c>
      <c r="I200" s="9" t="s">
        <v>17</v>
      </c>
      <c r="J200" s="4" t="s">
        <v>342</v>
      </c>
      <c r="K200" s="5"/>
      <c r="L200" s="5">
        <v>188</v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5.75" thickBot="1" x14ac:dyDescent="0.3">
      <c r="A201" s="9" t="s">
        <v>9</v>
      </c>
      <c r="B201" s="14" t="s">
        <v>343</v>
      </c>
      <c r="C201" s="9" t="s">
        <v>344</v>
      </c>
      <c r="D201" s="9" t="s">
        <v>345</v>
      </c>
      <c r="E201" s="11">
        <v>193</v>
      </c>
      <c r="F201" s="9">
        <v>375.02</v>
      </c>
      <c r="G201" s="13">
        <v>280</v>
      </c>
      <c r="H201" s="13" t="s">
        <v>9</v>
      </c>
      <c r="I201" s="14" t="s">
        <v>17</v>
      </c>
      <c r="J201" s="4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5.75" thickBot="1" x14ac:dyDescent="0.3">
      <c r="A202" s="9" t="s">
        <v>18</v>
      </c>
      <c r="B202" s="14" t="s">
        <v>346</v>
      </c>
      <c r="C202" s="9" t="s">
        <v>203</v>
      </c>
      <c r="D202" s="16" t="s">
        <v>347</v>
      </c>
      <c r="E202" s="11">
        <v>194</v>
      </c>
      <c r="F202" s="12">
        <v>2400</v>
      </c>
      <c r="G202" s="9">
        <v>975</v>
      </c>
      <c r="H202" s="9" t="s">
        <v>18</v>
      </c>
      <c r="I202" s="14" t="s">
        <v>17</v>
      </c>
      <c r="J202" s="4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5.75" thickBot="1" x14ac:dyDescent="0.3">
      <c r="A203" s="9" t="s">
        <v>9</v>
      </c>
      <c r="B203" s="14" t="s">
        <v>348</v>
      </c>
      <c r="C203" s="9" t="s">
        <v>14</v>
      </c>
      <c r="D203" s="13"/>
      <c r="E203" s="11">
        <v>195</v>
      </c>
      <c r="F203" s="9">
        <v>674</v>
      </c>
      <c r="G203" s="13">
        <v>225</v>
      </c>
      <c r="H203" s="13" t="s">
        <v>16</v>
      </c>
      <c r="I203" s="14" t="s">
        <v>17</v>
      </c>
      <c r="J203" s="4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5.75" thickBot="1" x14ac:dyDescent="0.3">
      <c r="A204" s="9" t="s">
        <v>9</v>
      </c>
      <c r="B204" s="15" t="s">
        <v>349</v>
      </c>
      <c r="C204" s="9" t="s">
        <v>130</v>
      </c>
      <c r="D204" s="9">
        <v>1267</v>
      </c>
      <c r="E204" s="11">
        <v>196</v>
      </c>
      <c r="F204" s="12">
        <v>3500</v>
      </c>
      <c r="G204" s="13"/>
      <c r="H204" s="13" t="s">
        <v>16</v>
      </c>
      <c r="I204" s="15" t="s">
        <v>12</v>
      </c>
      <c r="J204" s="4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5.75" thickBot="1" x14ac:dyDescent="0.3">
      <c r="A205" s="9" t="s">
        <v>9</v>
      </c>
      <c r="B205" s="14" t="s">
        <v>350</v>
      </c>
      <c r="C205" s="9" t="s">
        <v>28</v>
      </c>
      <c r="D205" s="9">
        <v>1922</v>
      </c>
      <c r="E205" s="11">
        <v>197</v>
      </c>
      <c r="F205" s="9">
        <v>187.5</v>
      </c>
      <c r="G205" s="9">
        <v>188</v>
      </c>
      <c r="H205" s="9" t="s">
        <v>9</v>
      </c>
      <c r="I205" s="14" t="s">
        <v>17</v>
      </c>
      <c r="J205" s="4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5.75" thickBot="1" x14ac:dyDescent="0.3">
      <c r="A206" s="13"/>
      <c r="B206" s="13"/>
      <c r="C206" s="13"/>
      <c r="D206" s="9" t="s">
        <v>351</v>
      </c>
      <c r="E206" s="13"/>
      <c r="F206" s="12">
        <v>253449.13</v>
      </c>
      <c r="G206" s="13">
        <f>SUM(G2:G205)</f>
        <v>98004.5</v>
      </c>
      <c r="H206" s="13"/>
      <c r="I206" s="9"/>
      <c r="J206" s="4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5.75" thickBo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4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5.75" thickBot="1" x14ac:dyDescent="0.3">
      <c r="A208" s="13"/>
      <c r="B208" s="13"/>
      <c r="C208" s="13"/>
      <c r="D208" s="13"/>
      <c r="E208" s="13"/>
      <c r="F208" s="13" t="s">
        <v>352</v>
      </c>
      <c r="G208" s="32">
        <f>SUM(G206-F206)</f>
        <v>-155444.63</v>
      </c>
      <c r="H208" s="13"/>
      <c r="I208" s="13"/>
      <c r="J208" s="4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5.75" thickBo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4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5.75" thickBot="1" x14ac:dyDescent="0.3">
      <c r="A210" s="33"/>
      <c r="B210" s="33"/>
      <c r="C210" s="33"/>
      <c r="D210" s="33"/>
      <c r="E210" s="33"/>
      <c r="F210" s="33"/>
      <c r="G210" s="33"/>
      <c r="H210" s="33"/>
      <c r="I210" s="3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5.75" thickBot="1" x14ac:dyDescent="0.3">
      <c r="A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5.75" thickBo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5.75" thickBo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5.75" thickBo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5.75" thickBo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5.75" thickBo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5.75" thickBo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5.75" thickBo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5.75" thickBo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5.75" thickBo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5.75" thickBo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5.75" thickBo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5.75" thickBo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5.75" thickBo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5.75" thickBo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5.75" thickBo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5.75" thickBo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5.75" thickBo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5.75" thickBo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5.75" thickBo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5.75" thickBo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5.75" thickBo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5.75" thickBo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5.75" thickBo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5.75" thickBo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5.75" thickBo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5.75" thickBo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5.75" thickBo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5.75" thickBo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5.75" thickBo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5.75" thickBo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5.75" thickBo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5.75" thickBo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5.75" thickBo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5.75" thickBo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5.75" thickBo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5.75" thickBo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5.75" thickBo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5.75" thickBo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5.75" thickBo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5.75" thickBo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5.75" thickBo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5.75" thickBo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5.75" thickBo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5.75" thickBo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5.75" thickBo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5.75" thickBo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5.75" thickBo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5.75" thickBo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5.75" thickBo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5.75" thickBo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5.75" thickBo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5.75" thickBo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5.75" thickBo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5.75" thickBo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5.75" thickBo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5.75" thickBo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5.75" thickBo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5.75" thickBo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5.75" thickBo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5.75" thickBo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5.75" thickBo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5.75" thickBo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5.75" thickBo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5.75" thickBo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5.75" thickBo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5.75" thickBo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5.75" thickBo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5.75" thickBo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5.75" thickBo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5.75" thickBo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5.75" thickBo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5.75" thickBo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5.75" thickBo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5.75" thickBo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5.75" thickBo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5.75" thickBo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5.75" thickBo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5.75" thickBo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5.75" thickBo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5.75" thickBo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5.75" thickBo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5.75" thickBo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5.75" thickBo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5.75" thickBo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5.75" thickBo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5.75" thickBo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5.75" thickBo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5.75" thickBo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5.75" thickBo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5.75" thickBo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5.75" thickBo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5.75" thickBo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5.75" thickBo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5.75" thickBo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5.75" thickBo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5.75" thickBo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5.75" thickBo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5.75" thickBo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5.75" thickBo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5.75" thickBo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5.75" thickBo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5.75" thickBo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5.75" thickBo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5.75" thickBo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5.75" thickBo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5.75" thickBo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5.75" thickBo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5.75" thickBo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5.75" thickBo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5.75" thickBo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5.75" thickBo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5.75" thickBo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5.75" thickBo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5.75" thickBo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5.75" thickBo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5.75" thickBo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5.75" thickBo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5.75" thickBo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5.75" thickBo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5.75" thickBo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5.75" thickBo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5.75" thickBo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5.75" thickBo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5.75" thickBo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5.75" thickBo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5.75" thickBo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5.75" thickBo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5.75" thickBo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5.75" thickBo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5.75" thickBo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5.75" thickBo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5.75" thickBo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5.75" thickBo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5.75" thickBo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5.75" thickBo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5.75" thickBo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5.75" thickBo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5.75" thickBo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5.75" thickBo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5.75" thickBo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5.75" thickBo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5.75" thickBo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5.75" thickBo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5.75" thickBo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5.75" thickBo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5.75" thickBo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5.75" thickBo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5.75" thickBo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5.75" thickBo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5.75" thickBo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5.75" thickBo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5.75" thickBo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5.75" thickBo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5.75" thickBo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5.75" thickBo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5.75" thickBo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5.75" thickBo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5.75" thickBo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5.75" thickBo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5.75" thickBo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5.75" thickBo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5.75" thickBo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5.75" thickBo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5.75" thickBo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5.75" thickBo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5.75" thickBo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5.75" thickBo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5.75" thickBo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5.75" thickBo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5.75" thickBo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5.75" thickBo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5.75" thickBo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5.75" thickBo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5.75" thickBo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5.75" thickBo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5.75" thickBo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5.75" thickBo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5.75" thickBo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5.75" thickBo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5.75" thickBo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5.75" thickBo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5.75" thickBo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5.75" thickBo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5.75" thickBo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5.75" thickBo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5.75" thickBo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5.75" thickBo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5.75" thickBo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5.75" thickBo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5.75" thickBo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5.75" thickBo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5.75" thickBo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5.75" thickBo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5.75" thickBo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5.75" thickBo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5.75" thickBo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5.75" thickBo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5.75" thickBo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5.75" thickBo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5.75" thickBo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5.75" thickBo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5.75" thickBo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5.75" thickBo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5.75" thickBo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5.75" thickBo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5.75" thickBo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5.75" thickBo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5.75" thickBo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5.75" thickBo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5.75" thickBo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5.75" thickBo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5.75" thickBo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5.75" thickBo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5.75" thickBo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5.75" thickBo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5.75" thickBo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5.75" thickBo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5.75" thickBo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5.75" thickBo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5.75" thickBo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5.75" thickBo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5.75" thickBo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5.75" thickBo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5.75" thickBo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5.75" thickBo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5.75" thickBo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5.75" thickBo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5.75" thickBo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5.75" thickBo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5.75" thickBo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5.75" thickBo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5.75" thickBo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5.75" thickBo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5.75" thickBo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5.75" thickBo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5.75" thickBo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5.75" thickBo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5.75" thickBo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5.75" thickBo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5.75" thickBo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5.75" thickBo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5.75" thickBo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5.75" thickBo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5.75" thickBo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5.75" thickBo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5.75" thickBo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5.75" thickBo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5.75" thickBo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5.75" thickBo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5.75" thickBo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5.75" thickBo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5.75" thickBo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5.75" thickBo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5.75" thickBo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5.75" thickBo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5.75" thickBo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5.75" thickBo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5.75" thickBo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5.75" thickBo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5.75" thickBo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5.75" thickBo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5.75" thickBo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5.75" thickBo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5.75" thickBo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5.75" thickBo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5.75" thickBo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5.75" thickBo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5.75" thickBo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5.75" thickBo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5.75" thickBo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5.75" thickBo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5.75" thickBo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5.75" thickBo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5.75" thickBo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5.75" thickBo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5.75" thickBo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5.75" thickBo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5.75" thickBo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5.75" thickBo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5.75" thickBo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5.75" thickBo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5.75" thickBo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5.75" thickBo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5.75" thickBo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5.75" thickBo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5.75" thickBo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5.75" thickBo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5.75" thickBo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5.75" thickBo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5.75" thickBo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5.75" thickBo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5.75" thickBo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5.75" thickBo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5.75" thickBo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5.75" thickBo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5.75" thickBo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5.75" thickBo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5.75" thickBo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5.75" thickBo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5.75" thickBo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5.75" thickBo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5.75" thickBo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5.75" thickBo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5.75" thickBo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5.75" thickBo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5.75" thickBo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5.75" thickBo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5.75" thickBo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5.75" thickBo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5.75" thickBo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5.75" thickBo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5.75" thickBo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5.75" thickBo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5.75" thickBo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5.75" thickBo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5.75" thickBo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5.75" thickBo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5.75" thickBo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5.75" thickBo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5.75" thickBo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5.75" thickBo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5.75" thickBo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5.75" thickBo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5.75" thickBo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5.75" thickBo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5.75" thickBo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5.75" thickBo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5.75" thickBo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5.75" thickBo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5.75" thickBo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5.75" thickBo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5.75" thickBo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5.75" thickBo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5.75" thickBo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5.75" thickBo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5.75" thickBo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5.75" thickBo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5.75" thickBo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5.75" thickBo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5.75" thickBo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5.75" thickBo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5.75" thickBo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5.75" thickBo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5.75" thickBo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5.75" thickBo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5.75" thickBo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5.75" thickBo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5.75" thickBo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5.75" thickBo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5.75" thickBo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5.75" thickBo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5.75" thickBo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5.75" thickBo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5.75" thickBo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5.75" thickBo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5.75" thickBo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5.75" thickBo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5.75" thickBo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5.75" thickBo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5.75" thickBo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5.75" thickBo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5.75" thickBo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5.75" thickBo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5.75" thickBo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5.75" thickBo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5.75" thickBo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5.75" thickBo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5.75" thickBo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5.75" thickBo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5.75" thickBo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5.75" thickBo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5.75" thickBo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5.75" thickBo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5.75" thickBo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5.75" thickBo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5.75" thickBo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5.75" thickBo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5.75" thickBo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5.75" thickBo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5.75" thickBo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5.75" thickBo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5.75" thickBo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5.75" thickBo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5.75" thickBo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5.75" thickBo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5.75" thickBo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5.75" thickBo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5.75" thickBo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5.75" thickBo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5.75" thickBo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5.75" thickBo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5.75" thickBo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5.75" thickBo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5.75" thickBo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5.75" thickBo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5.75" thickBo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5.75" thickBo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5.75" thickBo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5.75" thickBo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5.75" thickBo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5.75" thickBo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5.75" thickBo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5.75" thickBo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5.75" thickBo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5.75" thickBo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5.75" thickBo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5.75" thickBo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5.75" thickBo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5.75" thickBo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5.75" thickBo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5.75" thickBo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5.75" thickBo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5.75" thickBo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5.75" thickBo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5.75" thickBo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5.75" thickBo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5.75" thickBo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5.75" thickBo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5.75" thickBo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5.75" thickBo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5.75" thickBo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5.75" thickBo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5.75" thickBo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5.75" thickBo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5.75" thickBo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5.75" thickBo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5.75" thickBo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5.75" thickBo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5.75" thickBo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5.75" thickBo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5.75" thickBo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5.75" thickBo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5.75" thickBo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5.75" thickBo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5.75" thickBo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5.75" thickBo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5.75" thickBo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5.75" thickBo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5.75" thickBo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5.75" thickBo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5.75" thickBo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5.75" thickBo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5.75" thickBo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5.75" thickBo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5.75" thickBo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5.75" thickBo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5.75" thickBo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5.75" thickBo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5.75" thickBo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5.75" thickBo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5.75" thickBo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5.75" thickBo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5.75" thickBo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5.75" thickBo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5.75" thickBo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5.75" thickBo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5.75" thickBo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5.75" thickBo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5.75" thickBo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5.75" thickBo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5.75" thickBo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5.75" thickBo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5.75" thickBo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5.75" thickBo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5.75" thickBo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5.75" thickBo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5.75" thickBo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5.75" thickBo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5.75" thickBo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5.75" thickBo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5.75" thickBo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5.75" thickBo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5.75" thickBo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5.75" thickBo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5.75" thickBo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5.75" thickBo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5.75" thickBo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5.75" thickBo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5.75" thickBo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5.75" thickBo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5.75" thickBo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5.75" thickBo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5.75" thickBo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5.75" thickBo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5.75" thickBo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5.75" thickBo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5.75" thickBo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5.75" thickBo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5.75" thickBo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5.75" thickBo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5.75" thickBo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5.75" thickBo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5.75" thickBo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5.75" thickBo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5.75" thickBo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5.75" thickBo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5.75" thickBo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5.75" thickBo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5.75" thickBo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5.75" thickBo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5.75" thickBo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5.75" thickBo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5.75" thickBo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5.75" thickBo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5.75" thickBo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5.75" thickBo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5.75" thickBo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5.75" thickBo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5.75" thickBo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5.75" thickBo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5.75" thickBo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5.75" thickBo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5.75" thickBo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5.75" thickBo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5.75" thickBo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5.75" thickBo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5.75" thickBo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5.75" thickBo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5.75" thickBo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5.75" thickBo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5.75" thickBo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5.75" thickBo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5.75" thickBo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5.75" thickBo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5.75" thickBo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5.75" thickBo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5.75" thickBo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5.75" thickBo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5.75" thickBo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5.75" thickBo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5.75" thickBo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5.75" thickBo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5.75" thickBo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5.75" thickBo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5.75" thickBo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5.75" thickBo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5.75" thickBo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5.75" thickBo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5.75" thickBo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5.75" thickBo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5.75" thickBo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5.75" thickBo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5.75" thickBo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5.75" thickBo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5.75" thickBo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5.75" thickBo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5.75" thickBo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5.75" thickBo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5.75" thickBo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5.75" thickBo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5.75" thickBo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5.75" thickBo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5.75" thickBo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5.75" thickBo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5.75" thickBo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5.75" thickBo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5.75" thickBo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5.75" thickBo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5.75" thickBo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5.75" thickBo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5.75" thickBo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5.75" thickBo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5.75" thickBo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5.75" thickBo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5.75" thickBo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5.75" thickBo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5.75" thickBo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5.75" thickBo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5.75" thickBo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5.75" thickBo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5.75" thickBo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5.75" thickBo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5.75" thickBo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5.75" thickBo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5.75" thickBo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5.75" thickBo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5.75" thickBo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5.75" thickBo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5.75" thickBo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5.75" thickBo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5.75" thickBo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5.75" thickBo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5.75" thickBo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5.75" thickBo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5.75" thickBo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5.75" thickBo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5.75" thickBo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5.75" thickBo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5.75" thickBo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5.75" thickBo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5.75" thickBo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5.75" thickBo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5.75" thickBo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5.75" thickBo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5.75" thickBo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5.75" thickBo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5.75" thickBo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5.75" thickBo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5.75" thickBo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5.75" thickBo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5.75" thickBo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5.75" thickBo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5.75" thickBo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5.75" thickBo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5.75" thickBo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5.75" thickBo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5.75" thickBo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5.75" thickBo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5.75" thickBo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5.75" thickBo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5.75" thickBo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5.75" thickBo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5.75" thickBo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5.75" thickBo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5.75" thickBo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5.75" thickBo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5.75" thickBo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5.75" thickBo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5.75" thickBo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5.75" thickBo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5.75" thickBo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5.75" thickBo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5.75" thickBo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5.75" thickBo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5.75" thickBo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5.75" thickBo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5.75" thickBo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5.75" thickBo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5.75" thickBo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5.75" thickBo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5.75" thickBo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5.75" thickBo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5.75" thickBo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5.75" thickBo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5.75" thickBo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5.75" thickBo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5.75" thickBo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5.75" thickBo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5.75" thickBo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5.75" thickBo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5.75" thickBo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5.75" thickBo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5.75" thickBo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5.75" thickBo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5.75" thickBo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5.75" thickBo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5.75" thickBo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5.75" thickBo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5.75" thickBo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5.75" thickBo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5.75" thickBo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5.75" thickBo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5.75" thickBo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5.75" thickBo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5.75" thickBo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5.75" thickBo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5.75" thickBo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5.75" thickBo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5.75" thickBo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5.75" thickBo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5.75" thickBo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5.75" thickBo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5.75" thickBo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5.75" thickBo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5.75" thickBo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5.75" thickBo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5.75" thickBo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5.75" thickBo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5.75" thickBo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5.75" thickBo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5.75" thickBo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5.75" thickBo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5.75" thickBo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5.75" thickBo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5.75" thickBo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5.75" thickBo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5.75" thickBo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5.75" thickBo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5.75" thickBo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5.75" thickBo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5.75" thickBo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5.75" thickBo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5.75" thickBo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5.75" thickBo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5.75" thickBo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5.75" thickBo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5.75" thickBo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5.75" thickBo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5.75" thickBo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5.75" thickBo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5.75" thickBo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5.75" thickBo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5.75" thickBo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5.75" thickBo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5.75" thickBo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5.75" thickBo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5.75" thickBo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5.75" thickBo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5.75" thickBo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5.75" thickBo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5.75" thickBo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5.75" thickBo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5.75" thickBo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5.75" thickBo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5.75" thickBo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5.75" thickBo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5.75" thickBo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5.75" thickBo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5.75" thickBo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5.75" thickBo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5.75" thickBo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5.75" thickBo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5.75" thickBo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5.75" thickBo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5.75" thickBo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5.75" thickBo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5.75" thickBo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5.75" thickBo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5.75" thickBo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5.75" thickBo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5.75" thickBo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5.75" thickBo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5.75" thickBo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5.75" thickBo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5.75" thickBo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5.75" thickBo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5.75" thickBo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5.75" thickBo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5.75" thickBo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5.75" thickBo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5.75" thickBo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5.75" thickBo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5.75" thickBo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5.75" thickBo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5.75" thickBo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5.75" thickBo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5.75" thickBo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5.75" thickBo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5.75" thickBo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5.75" thickBo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5.75" thickBo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5.75" thickBo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5.75" thickBo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5.75" thickBo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5.75" thickBo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5.75" thickBo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5.75" thickBo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5.75" thickBo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5.75" thickBo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5.75" thickBo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5.75" thickBo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5.75" thickBo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5.75" thickBo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5.75" thickBo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5.75" thickBo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5.75" thickBo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5.75" thickBo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5.75" thickBo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5.75" thickBo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5.75" thickBo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5.75" thickBo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5.75" thickBo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5.75" thickBo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5.75" thickBo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5.75" thickBo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5.75" thickBo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5.75" thickBo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5.75" thickBo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5.75" thickBo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5.75" thickBo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5.75" thickBo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5.75" thickBo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5.75" thickBo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5.75" thickBo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5.75" thickBo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5.75" thickBo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5.75" thickBo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5.75" thickBo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5.75" thickBo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5.75" thickBo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5.75" thickBo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5.75" thickBo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5.75" thickBo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5.75" thickBo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5.75" thickBo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5.75" thickBo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5.75" thickBo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spans="1:24" ht="15.75" thickBo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spans="1:24" ht="15.75" thickBo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spans="1:24" ht="15.75" thickBot="1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spans="1:24" ht="15.75" thickBot="1" x14ac:dyDescent="0.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spans="1:24" ht="15.75" thickBot="1" x14ac:dyDescent="0.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 spans="1:24" ht="15.75" thickBot="1" x14ac:dyDescent="0.3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 spans="1:24" ht="15.75" thickBot="1" x14ac:dyDescent="0.3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 spans="1:24" ht="15.75" thickBot="1" x14ac:dyDescent="0.3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 spans="1:24" ht="15.75" thickBot="1" x14ac:dyDescent="0.3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 spans="1:24" ht="15.75" thickBot="1" x14ac:dyDescent="0.3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master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OTB-PC</dc:creator>
  <cp:lastModifiedBy>Rishit</cp:lastModifiedBy>
  <dcterms:created xsi:type="dcterms:W3CDTF">2018-08-30T06:40:06Z</dcterms:created>
  <dcterms:modified xsi:type="dcterms:W3CDTF">2018-08-31T07:29:13Z</dcterms:modified>
</cp:coreProperties>
</file>